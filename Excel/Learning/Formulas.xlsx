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Learning\"/>
    </mc:Choice>
  </mc:AlternateContent>
  <xr:revisionPtr revIDLastSave="0" documentId="8_{068CBBC8-53F3-4611-8D22-98966DFA8DD9}" xr6:coauthVersionLast="47" xr6:coauthVersionMax="47" xr10:uidLastSave="{00000000-0000-0000-0000-000000000000}"/>
  <bookViews>
    <workbookView xWindow="-120" yWindow="-120" windowWidth="29040" windowHeight="15720" firstSheet="1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2" i="1" a="1"/>
  <c r="K2" i="1" s="1"/>
  <c r="J2" i="1" a="1"/>
  <c r="J2" i="1" s="1"/>
  <c r="J2" i="6" a="1"/>
  <c r="J2" i="6" s="1"/>
  <c r="J2" i="3" a="1"/>
  <c r="J2" i="3" s="1"/>
  <c r="L2" i="4" a="1"/>
  <c r="L2" i="4" s="1"/>
  <c r="K2" i="4" a="1"/>
  <c r="K2" i="4" s="1"/>
  <c r="J2" i="2" a="1"/>
  <c r="J2" i="2" s="1"/>
  <c r="K2" i="8" a="1"/>
  <c r="K2" i="8" s="1"/>
  <c r="J2" i="8" a="1"/>
  <c r="J2" i="8" s="1"/>
  <c r="L5" i="9"/>
  <c r="K5" i="9"/>
  <c r="L2" i="9"/>
  <c r="K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<sst xmlns="http://schemas.openxmlformats.org/spreadsheetml/2006/main" count="582" uniqueCount="88">
  <si>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</si>
  <si>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</si>
  <si>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</si>
  <si>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</si>
  <si>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</si>
  <si>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</si>
  <si>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</si>
  <si>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</si>
  <si>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</si>
  <si>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</si>
  <si>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</si>
  <si>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</si>
  <si>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</si>
  <si>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</si>
  <si>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</si>
  <si>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</si>
  <si>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</si>
  <si>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</si>
  <si>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</si>
  <si>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</si>
  <si>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</si>
  <si>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</si>
  <si>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</si>
  <si>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</si>
  <si>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</si>
  <si>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</si>
  <si>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</si>
  <si>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</si>
  <si>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</si>
  <si>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</si>
  <si>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</si>
  <si>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</si>
  <si>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</si>
  <si>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</si>
  <si>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</si>
  <si>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</si>
  <si>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</si>
  <si>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</si>
  <si>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</si>
  <si>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</si>
  <si>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</si>
  <si>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</si>
  <si>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</si>
  <si>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</si>
  <si>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</si>
  <si>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</si>
  <si>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</si>
  <si>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</si>
  <si>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</si>
  <si>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</si>
  <si>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</si>
  <si>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</si>
  <si>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</si>
  <si>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</si>
  <si>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</si>
  <si>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</si>
  <si>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</si>
  <si>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</si>
  <si>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</si>
  <si>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</si>
  <si>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</si>
  <si>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</si>
  <si>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</si>
  <si>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</si>
  <si>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</si>
  <si>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</si>
  <si>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</si>
  <si>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</si>
  <si>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</si>
  <si>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</si>
  <si>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</si>
  <si>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</si>
  <si>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</si>
  <si>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</si>
  <si>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</si>
  <si>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</si>
  <si>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</si>
  <si>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IF</t>
  </si>
  <si>
    <t>IFS</t>
  </si>
  <si>
    <t>DAYS</t>
  </si>
  <si>
    <t>NETWORKDAYS</t>
  </si>
  <si>
    <t>Left</t>
  </si>
  <si>
    <t>Max Salary</t>
  </si>
  <si>
    <t>Min Salary</t>
  </si>
  <si>
    <t>Max Starting Date</t>
  </si>
  <si>
    <t>Min Starting date</t>
  </si>
  <si>
    <t>Length of id</t>
  </si>
  <si>
    <t>Starting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</si>
</sst>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L10"/>
  <sheetViews>
    <sheetView zoomScale="160" zoomScaleNormal="160" workbookViewId="0">
      <selection sqref="A1:A1048576"/>
    </sheetView>
  </sheetViews>
  <sheetFormatPr defaultColWidth="13.7109375" defaultRowHeight="15" x14ac:dyDescent="0.25"/>
  <cols>
    <col min="1" max="1" width="10.7109375" style="4" bestFit="1" customWidth="1"/>
    <col min="4" max="4" width="7.7109375" style="4" customWidth="1"/>
    <col min="7" max="7" width="13.7109375" style="4"/>
    <col min="11" max="11" width="16.7109375" bestFit="1" customWidth="1"/>
    <col min="12" max="12" width="16.28515625" bestFit="1" customWidth="1"/>
  </cols>
  <sheetData>
    <row r="1" spans="1:12" x14ac:dyDescent="0.25">
      <c r="A1" s="4" t="s">
        <v>19</v>
      </c>
      <c r="B1" t="s">
        <v>0</v>
      </c>
      <c r="C1" t="s">
        <v>1</v>
      </c>
      <c r="D1" s="4" t="s">
        <v>22</v>
      </c>
      <c r="E1" t="s">
        <v>23</v>
      </c>
      <c r="F1" t="s">
        <v>20</v>
      </c>
      <c r="G1" s="4" t="s">
        <v>21</v>
      </c>
      <c r="H1" s="4" t="s">
        <v>34</v>
      </c>
      <c r="I1" s="4" t="s">
        <v>35</v>
      </c>
      <c r="K1" s="6" t="s">
        <v>82</v>
      </c>
      <c r="L1" s="6" t="s">
        <v>83</v>
      </c>
    </row>
    <row r="2" spans="1:12" x14ac:dyDescent="0.25">
      <c r="A2" s="4">
        <v>1001</v>
      </c>
      <c r="B2" t="s">
        <v>2</v>
      </c>
      <c r="C2" t="s">
        <v>3</v>
      </c>
      <c r="D2" s="4">
        <v>30</v>
      </c>
      <c r="E2" t="s">
        <v>25</v>
      </c>
      <c r="F2" t="s">
        <v>24</v>
      </c>
      <c r="G2" s="4">
        <v>45000</v>
      </c>
      <c r="H2" s="5">
        <v>37197</v>
      </c>
      <c r="I2" s="5">
        <v>42253</v>
      </c>
      <c r="K2" s="6">
        <f>MAX(G2:G10)</f>
        <v>65000</v>
      </c>
      <c r="L2" s="6">
        <f>MIN(G2:G10)</f>
        <v>36000</v>
      </c>
    </row>
    <row r="3" spans="1:12" x14ac:dyDescent="0.25">
      <c r="A3" s="4">
        <v>1002</v>
      </c>
      <c r="B3" t="s">
        <v>4</v>
      </c>
      <c r="C3" t="s">
        <v>5</v>
      </c>
      <c r="D3" s="4">
        <v>30</v>
      </c>
      <c r="E3" t="s">
        <v>27</v>
      </c>
      <c r="F3" t="s">
        <v>26</v>
      </c>
      <c r="G3" s="4">
        <v>36000</v>
      </c>
      <c r="H3" s="5">
        <v>36436</v>
      </c>
      <c r="I3" s="5">
        <v>42287</v>
      </c>
      <c r="K3" s="3"/>
      <c r="L3" s="3"/>
    </row>
    <row r="4" spans="1:12" x14ac:dyDescent="0.25">
      <c r="A4" s="4">
        <v>1003</v>
      </c>
      <c r="B4" t="s">
        <v>6</v>
      </c>
      <c r="C4" t="s">
        <v>7</v>
      </c>
      <c r="D4" s="4">
        <v>29</v>
      </c>
      <c r="E4" t="s">
        <v>25</v>
      </c>
      <c r="F4" t="s">
        <v>24</v>
      </c>
      <c r="G4" s="4">
        <v>63000</v>
      </c>
      <c r="H4" s="5">
        <v>36711</v>
      </c>
      <c r="I4" s="5">
        <v>42986</v>
      </c>
      <c r="K4" s="6" t="s">
        <v>84</v>
      </c>
      <c r="L4" s="6" t="s">
        <v>85</v>
      </c>
    </row>
    <row r="5" spans="1:12" x14ac:dyDescent="0.25">
      <c r="A5" s="4">
        <v>1004</v>
      </c>
      <c r="B5" t="s">
        <v>13</v>
      </c>
      <c r="C5" t="s">
        <v>12</v>
      </c>
      <c r="D5" s="4">
        <v>31</v>
      </c>
      <c r="E5" t="s">
        <v>27</v>
      </c>
      <c r="F5" t="s">
        <v>28</v>
      </c>
      <c r="G5" s="4">
        <v>47000</v>
      </c>
      <c r="H5" s="5">
        <v>36530</v>
      </c>
      <c r="I5" s="5">
        <v>42341</v>
      </c>
      <c r="K5" s="5">
        <f>MAX(H2:H10)</f>
        <v>37933</v>
      </c>
      <c r="L5" s="5">
        <f>MIN(I2:I10)</f>
        <v>40800</v>
      </c>
    </row>
    <row r="6" spans="1:12" x14ac:dyDescent="0.25">
      <c r="A6" s="4">
        <v>1005</v>
      </c>
      <c r="B6" t="s">
        <v>14</v>
      </c>
      <c r="C6" t="s">
        <v>15</v>
      </c>
      <c r="D6" s="4">
        <v>32</v>
      </c>
      <c r="E6" t="s">
        <v>25</v>
      </c>
      <c r="F6" t="s">
        <v>29</v>
      </c>
      <c r="G6" s="4">
        <v>50000</v>
      </c>
      <c r="H6" s="5">
        <v>37017</v>
      </c>
      <c r="I6" s="5">
        <v>42977</v>
      </c>
      <c r="K6" s="6"/>
      <c r="L6" s="6"/>
    </row>
    <row r="7" spans="1:12" x14ac:dyDescent="0.25">
      <c r="A7" s="4">
        <v>1006</v>
      </c>
      <c r="B7" t="s">
        <v>8</v>
      </c>
      <c r="C7" t="s">
        <v>9</v>
      </c>
      <c r="D7" s="4">
        <v>35</v>
      </c>
      <c r="E7" t="s">
        <v>25</v>
      </c>
      <c r="F7" t="s">
        <v>30</v>
      </c>
      <c r="G7" s="4">
        <v>65000</v>
      </c>
      <c r="H7" s="5">
        <v>35040</v>
      </c>
      <c r="I7" s="5">
        <v>41528</v>
      </c>
      <c r="K7" s="6"/>
      <c r="L7" s="6"/>
    </row>
    <row r="8" spans="1:12" x14ac:dyDescent="0.25">
      <c r="A8" s="4">
        <v>1007</v>
      </c>
      <c r="B8" t="s">
        <v>32</v>
      </c>
      <c r="C8" t="s">
        <v>33</v>
      </c>
      <c r="D8" s="4">
        <v>32</v>
      </c>
      <c r="E8" t="s">
        <v>27</v>
      </c>
      <c r="F8" t="s">
        <v>31</v>
      </c>
      <c r="G8" s="4">
        <v>41000</v>
      </c>
      <c r="H8" s="5">
        <v>37933</v>
      </c>
      <c r="I8" s="5">
        <v>41551</v>
      </c>
      <c r="K8" s="6"/>
      <c r="L8" s="6"/>
    </row>
    <row r="9" spans="1:12" x14ac:dyDescent="0.25">
      <c r="A9" s="4">
        <v>1008</v>
      </c>
      <c r="B9" t="s">
        <v>16</v>
      </c>
      <c r="C9" t="s">
        <v>17</v>
      </c>
      <c r="D9" s="4">
        <v>38</v>
      </c>
      <c r="E9" t="s">
        <v>25</v>
      </c>
      <c r="F9" t="s">
        <v>24</v>
      </c>
      <c r="G9" s="4">
        <v>48000</v>
      </c>
      <c r="H9" s="5">
        <v>37416</v>
      </c>
      <c r="I9" s="5">
        <v>42116</v>
      </c>
      <c r="K9" s="6"/>
      <c r="L9" s="6"/>
    </row>
    <row r="10" spans="1:12" x14ac:dyDescent="0.25">
      <c r="A10" s="4">
        <v>1009</v>
      </c>
      <c r="B10" t="s">
        <v>10</v>
      </c>
      <c r="C10" t="s">
        <v>11</v>
      </c>
      <c r="D10" s="4">
        <v>31</v>
      </c>
      <c r="E10" t="s">
        <v>25</v>
      </c>
      <c r="F10" t="s">
        <v>28</v>
      </c>
      <c r="G10" s="4">
        <v>42000</v>
      </c>
      <c r="H10" s="5">
        <v>37843</v>
      </c>
      <c r="I10" s="5">
        <v>40800</v>
      </c>
      <c r="K10" s="6"/>
      <c r="L1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B1" zoomScale="175" zoomScaleNormal="175" workbookViewId="0">
      <selection activeCell="G8" sqref="G8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7.42578125" bestFit="1" customWidth="1"/>
    <col min="11" max="11" width="18.85546875" customWidth="1"/>
  </cols>
  <sheetData>
    <row r="1" spans="1:11" x14ac:dyDescent="0.25">
      <c r="A1" s="4" t="s">
        <v>19</v>
      </c>
      <c r="B1" s="4" t="s">
        <v>0</v>
      </c>
      <c r="C1" s="4" t="s">
        <v>1</v>
      </c>
      <c r="D1" s="4" t="s">
        <v>22</v>
      </c>
      <c r="E1" s="4" t="s">
        <v>23</v>
      </c>
      <c r="F1" s="4" t="s">
        <v>20</v>
      </c>
      <c r="G1" s="4" t="s">
        <v>21</v>
      </c>
      <c r="H1" s="4" t="s">
        <v>34</v>
      </c>
      <c r="I1" s="4" t="s">
        <v>35</v>
      </c>
      <c r="J1" s="4" t="s">
        <v>77</v>
      </c>
      <c r="K1" s="4" t="s">
        <v>78</v>
      </c>
    </row>
    <row r="2" spans="1:11" x14ac:dyDescent="0.25">
      <c r="A2" s="4">
        <v>1001</v>
      </c>
      <c r="B2" s="4" t="s">
        <v>2</v>
      </c>
      <c r="C2" s="4" t="s">
        <v>3</v>
      </c>
      <c r="D2" s="4">
        <v>30</v>
      </c>
      <c r="E2" s="4" t="s">
        <v>25</v>
      </c>
      <c r="F2" s="4" t="s">
        <v>24</v>
      </c>
      <c r="G2" s="4">
        <v>45000</v>
      </c>
      <c r="H2" s="5">
        <v>37197</v>
      </c>
      <c r="I2" s="5">
        <v>42253</v>
      </c>
      <c r="J2" s="4" t="str" cm="1">
        <f t="array" ref="J2:J10">IF(E2:E10 = "Male","Guy", "Woman")</f>
        <v>Guy</v>
      </c>
      <c r="K2" s="4" t="str" cm="1">
        <f t="array" ref="K2:K10">_xlfn.IFS(G2:G10 &gt;= 50000,"High paying", G2:G10 &lt; 50000, "low paying")</f>
        <v>low paying</v>
      </c>
    </row>
    <row r="3" spans="1:11" x14ac:dyDescent="0.25">
      <c r="A3" s="4">
        <v>1002</v>
      </c>
      <c r="B3" s="4" t="s">
        <v>4</v>
      </c>
      <c r="C3" s="4" t="s">
        <v>5</v>
      </c>
      <c r="D3" s="4">
        <v>30</v>
      </c>
      <c r="E3" s="4" t="s">
        <v>27</v>
      </c>
      <c r="F3" s="4" t="s">
        <v>26</v>
      </c>
      <c r="G3" s="4">
        <v>36000</v>
      </c>
      <c r="H3" s="5">
        <v>36436</v>
      </c>
      <c r="I3" s="5">
        <v>42287</v>
      </c>
      <c r="J3" s="4" t="str">
        <v>Woman</v>
      </c>
      <c r="K3" s="4" t="str">
        <v>low paying</v>
      </c>
    </row>
    <row r="4" spans="1:11" x14ac:dyDescent="0.25">
      <c r="A4" s="4">
        <v>1003</v>
      </c>
      <c r="B4" s="4" t="s">
        <v>6</v>
      </c>
      <c r="C4" s="4" t="s">
        <v>7</v>
      </c>
      <c r="D4" s="4">
        <v>29</v>
      </c>
      <c r="E4" s="4" t="s">
        <v>25</v>
      </c>
      <c r="F4" s="4" t="s">
        <v>24</v>
      </c>
      <c r="G4" s="4">
        <v>63000</v>
      </c>
      <c r="H4" s="5">
        <v>36711</v>
      </c>
      <c r="I4" s="5">
        <v>42986</v>
      </c>
      <c r="J4" s="4" t="str">
        <v>Guy</v>
      </c>
      <c r="K4" s="4" t="str">
        <v>High paying</v>
      </c>
    </row>
    <row r="5" spans="1:11" x14ac:dyDescent="0.25">
      <c r="A5" s="4">
        <v>1004</v>
      </c>
      <c r="B5" s="4" t="s">
        <v>13</v>
      </c>
      <c r="C5" s="4" t="s">
        <v>12</v>
      </c>
      <c r="D5" s="4">
        <v>31</v>
      </c>
      <c r="E5" s="4" t="s">
        <v>27</v>
      </c>
      <c r="F5" s="4" t="s">
        <v>28</v>
      </c>
      <c r="G5" s="4">
        <v>47000</v>
      </c>
      <c r="H5" s="5">
        <v>36530</v>
      </c>
      <c r="I5" s="5">
        <v>42341</v>
      </c>
      <c r="J5" s="4" t="str">
        <v>Woman</v>
      </c>
      <c r="K5" s="4" t="str">
        <v>low paying</v>
      </c>
    </row>
    <row r="6" spans="1:11" x14ac:dyDescent="0.25">
      <c r="A6" s="4">
        <v>1005</v>
      </c>
      <c r="B6" s="4" t="s">
        <v>14</v>
      </c>
      <c r="C6" s="4" t="s">
        <v>15</v>
      </c>
      <c r="D6" s="4">
        <v>32</v>
      </c>
      <c r="E6" s="4" t="s">
        <v>25</v>
      </c>
      <c r="F6" s="4" t="s">
        <v>29</v>
      </c>
      <c r="G6" s="4">
        <v>50000</v>
      </c>
      <c r="H6" s="5">
        <v>37017</v>
      </c>
      <c r="I6" s="5">
        <v>42977</v>
      </c>
      <c r="J6" s="4" t="str">
        <v>Guy</v>
      </c>
      <c r="K6" s="4" t="str">
        <v>High paying</v>
      </c>
    </row>
    <row r="7" spans="1:11" x14ac:dyDescent="0.25">
      <c r="A7" s="4">
        <v>1006</v>
      </c>
      <c r="B7" s="4" t="s">
        <v>8</v>
      </c>
      <c r="C7" s="4" t="s">
        <v>9</v>
      </c>
      <c r="D7" s="4">
        <v>35</v>
      </c>
      <c r="E7" s="4" t="s">
        <v>25</v>
      </c>
      <c r="F7" s="4" t="s">
        <v>30</v>
      </c>
      <c r="G7" s="4">
        <v>65000</v>
      </c>
      <c r="H7" s="5">
        <v>35040</v>
      </c>
      <c r="I7" s="5">
        <v>41528</v>
      </c>
      <c r="J7" s="4" t="str">
        <v>Guy</v>
      </c>
      <c r="K7" s="4" t="str">
        <v>High paying</v>
      </c>
    </row>
    <row r="8" spans="1:11" x14ac:dyDescent="0.25">
      <c r="A8" s="4">
        <v>1007</v>
      </c>
      <c r="B8" s="4" t="s">
        <v>32</v>
      </c>
      <c r="C8" s="4" t="s">
        <v>33</v>
      </c>
      <c r="D8" s="4">
        <v>32</v>
      </c>
      <c r="E8" s="4" t="s">
        <v>27</v>
      </c>
      <c r="F8" s="4" t="s">
        <v>31</v>
      </c>
      <c r="G8" s="4">
        <v>41000</v>
      </c>
      <c r="H8" s="5">
        <v>37933</v>
      </c>
      <c r="I8" s="5">
        <v>41551</v>
      </c>
      <c r="J8" s="4" t="str">
        <v>Woman</v>
      </c>
      <c r="K8" s="4" t="str">
        <v>low paying</v>
      </c>
    </row>
    <row r="9" spans="1:11" x14ac:dyDescent="0.25">
      <c r="A9" s="4">
        <v>1008</v>
      </c>
      <c r="B9" s="4" t="s">
        <v>16</v>
      </c>
      <c r="C9" s="4" t="s">
        <v>17</v>
      </c>
      <c r="D9" s="4">
        <v>38</v>
      </c>
      <c r="E9" s="4" t="s">
        <v>25</v>
      </c>
      <c r="F9" s="4" t="s">
        <v>24</v>
      </c>
      <c r="G9" s="4">
        <v>48000</v>
      </c>
      <c r="H9" s="5">
        <v>37416</v>
      </c>
      <c r="I9" s="5">
        <v>42116</v>
      </c>
      <c r="J9" s="4" t="str">
        <v>Guy</v>
      </c>
      <c r="K9" s="4" t="str">
        <v>low paying</v>
      </c>
    </row>
    <row r="10" spans="1:11" x14ac:dyDescent="0.25">
      <c r="A10" s="4">
        <v>1009</v>
      </c>
      <c r="B10" s="4" t="s">
        <v>10</v>
      </c>
      <c r="C10" s="4" t="s">
        <v>11</v>
      </c>
      <c r="D10" s="4">
        <v>31</v>
      </c>
      <c r="E10" s="4" t="s">
        <v>25</v>
      </c>
      <c r="F10" s="4" t="s">
        <v>28</v>
      </c>
      <c r="G10" s="4">
        <v>42000</v>
      </c>
      <c r="H10" s="5">
        <v>37843</v>
      </c>
      <c r="I10" s="5">
        <v>40800</v>
      </c>
      <c r="J10" s="4" t="str">
        <v>Guy</v>
      </c>
      <c r="K10" s="4" t="str">
        <v>low paying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J10"/>
  <sheetViews>
    <sheetView topLeftCell="B1" zoomScale="145" zoomScaleNormal="145" workbookViewId="0">
      <selection activeCell="L1" sqref="L1"/>
    </sheetView>
  </sheetViews>
  <sheetFormatPr defaultColWidth="10.85546875" defaultRowHeight="15" x14ac:dyDescent="0.25"/>
  <cols>
    <col min="1" max="1" width="10.7109375" bestFit="1" customWidth="1"/>
  </cols>
  <sheetData>
    <row r="1" spans="1:10" x14ac:dyDescent="0.25">
      <c r="A1" s="4" t="s">
        <v>19</v>
      </c>
      <c r="B1" s="4" t="s">
        <v>0</v>
      </c>
      <c r="C1" s="4" t="s">
        <v>1</v>
      </c>
      <c r="D1" s="4" t="s">
        <v>22</v>
      </c>
      <c r="E1" s="4" t="s">
        <v>23</v>
      </c>
      <c r="F1" s="4" t="s">
        <v>20</v>
      </c>
      <c r="G1" s="4" t="s">
        <v>21</v>
      </c>
      <c r="H1" s="4" t="s">
        <v>34</v>
      </c>
      <c r="I1" s="4" t="s">
        <v>35</v>
      </c>
      <c r="J1" s="4" t="s">
        <v>86</v>
      </c>
    </row>
    <row r="2" spans="1:10" x14ac:dyDescent="0.25">
      <c r="A2" s="4">
        <v>1001</v>
      </c>
      <c r="B2" s="4" t="s">
        <v>2</v>
      </c>
      <c r="C2" s="4" t="s">
        <v>3</v>
      </c>
      <c r="D2" s="4">
        <v>30</v>
      </c>
      <c r="E2" s="4" t="s">
        <v>25</v>
      </c>
      <c r="F2" s="4" t="s">
        <v>24</v>
      </c>
      <c r="G2" s="4">
        <v>45000</v>
      </c>
      <c r="H2" s="5">
        <v>37197</v>
      </c>
      <c r="I2" s="5">
        <v>42253</v>
      </c>
      <c r="J2" s="4" cm="1">
        <f t="array" ref="J2:J10">LEN(A2:A10)</f>
        <v>4</v>
      </c>
    </row>
    <row r="3" spans="1:10" x14ac:dyDescent="0.25">
      <c r="A3" s="4">
        <v>1002</v>
      </c>
      <c r="B3" s="4" t="s">
        <v>4</v>
      </c>
      <c r="C3" s="4" t="s">
        <v>5</v>
      </c>
      <c r="D3" s="4">
        <v>30</v>
      </c>
      <c r="E3" s="4" t="s">
        <v>27</v>
      </c>
      <c r="F3" s="4" t="s">
        <v>26</v>
      </c>
      <c r="G3" s="4">
        <v>36000</v>
      </c>
      <c r="H3" s="5">
        <v>36436</v>
      </c>
      <c r="I3" s="5">
        <v>42287</v>
      </c>
      <c r="J3" s="4">
        <v>4</v>
      </c>
    </row>
    <row r="4" spans="1:10" x14ac:dyDescent="0.25">
      <c r="A4" s="4">
        <v>1003</v>
      </c>
      <c r="B4" s="4" t="s">
        <v>6</v>
      </c>
      <c r="C4" s="4" t="s">
        <v>7</v>
      </c>
      <c r="D4" s="4">
        <v>29</v>
      </c>
      <c r="E4" s="4" t="s">
        <v>25</v>
      </c>
      <c r="F4" s="4" t="s">
        <v>24</v>
      </c>
      <c r="G4" s="4">
        <v>63000</v>
      </c>
      <c r="H4" s="5">
        <v>36711</v>
      </c>
      <c r="I4" s="5">
        <v>42986</v>
      </c>
      <c r="J4" s="4">
        <v>4</v>
      </c>
    </row>
    <row r="5" spans="1:10" x14ac:dyDescent="0.25">
      <c r="A5" s="4">
        <v>1004</v>
      </c>
      <c r="B5" s="4" t="s">
        <v>13</v>
      </c>
      <c r="C5" s="4" t="s">
        <v>12</v>
      </c>
      <c r="D5" s="4">
        <v>31</v>
      </c>
      <c r="E5" s="4" t="s">
        <v>27</v>
      </c>
      <c r="F5" s="4" t="s">
        <v>28</v>
      </c>
      <c r="G5" s="4">
        <v>47000</v>
      </c>
      <c r="H5" s="5">
        <v>36530</v>
      </c>
      <c r="I5" s="5">
        <v>42341</v>
      </c>
      <c r="J5" s="4">
        <v>4</v>
      </c>
    </row>
    <row r="6" spans="1:10" x14ac:dyDescent="0.25">
      <c r="A6" s="4">
        <v>1005</v>
      </c>
      <c r="B6" s="4" t="s">
        <v>14</v>
      </c>
      <c r="C6" s="4" t="s">
        <v>15</v>
      </c>
      <c r="D6" s="4">
        <v>32</v>
      </c>
      <c r="E6" s="4" t="s">
        <v>25</v>
      </c>
      <c r="F6" s="4" t="s">
        <v>29</v>
      </c>
      <c r="G6" s="4">
        <v>50000</v>
      </c>
      <c r="H6" s="5">
        <v>37017</v>
      </c>
      <c r="I6" s="5">
        <v>42977</v>
      </c>
      <c r="J6" s="4">
        <v>4</v>
      </c>
    </row>
    <row r="7" spans="1:10" x14ac:dyDescent="0.25">
      <c r="A7" s="4">
        <v>1006</v>
      </c>
      <c r="B7" s="4" t="s">
        <v>8</v>
      </c>
      <c r="C7" s="4" t="s">
        <v>9</v>
      </c>
      <c r="D7" s="4">
        <v>35</v>
      </c>
      <c r="E7" s="4" t="s">
        <v>25</v>
      </c>
      <c r="F7" s="4" t="s">
        <v>30</v>
      </c>
      <c r="G7" s="4">
        <v>65000</v>
      </c>
      <c r="H7" s="5">
        <v>35040</v>
      </c>
      <c r="I7" s="5">
        <v>41528</v>
      </c>
      <c r="J7" s="4">
        <v>4</v>
      </c>
    </row>
    <row r="8" spans="1:10" x14ac:dyDescent="0.25">
      <c r="A8" s="4">
        <v>1007</v>
      </c>
      <c r="B8" s="4" t="s">
        <v>32</v>
      </c>
      <c r="C8" s="4" t="s">
        <v>33</v>
      </c>
      <c r="D8" s="4">
        <v>32</v>
      </c>
      <c r="E8" s="4" t="s">
        <v>27</v>
      </c>
      <c r="F8" s="4" t="s">
        <v>31</v>
      </c>
      <c r="G8" s="4">
        <v>41000</v>
      </c>
      <c r="H8" s="5">
        <v>37933</v>
      </c>
      <c r="I8" s="5">
        <v>41551</v>
      </c>
      <c r="J8" s="4">
        <v>4</v>
      </c>
    </row>
    <row r="9" spans="1:10" x14ac:dyDescent="0.25">
      <c r="A9" s="4">
        <v>1008</v>
      </c>
      <c r="B9" s="4" t="s">
        <v>16</v>
      </c>
      <c r="C9" s="4" t="s">
        <v>17</v>
      </c>
      <c r="D9" s="4">
        <v>38</v>
      </c>
      <c r="E9" s="4" t="s">
        <v>25</v>
      </c>
      <c r="F9" s="4" t="s">
        <v>24</v>
      </c>
      <c r="G9" s="4">
        <v>48000</v>
      </c>
      <c r="H9" s="5">
        <v>37416</v>
      </c>
      <c r="I9" s="5">
        <v>42116</v>
      </c>
      <c r="J9" s="4">
        <v>4</v>
      </c>
    </row>
    <row r="10" spans="1:10" x14ac:dyDescent="0.25">
      <c r="A10" s="4">
        <v>1009</v>
      </c>
      <c r="B10" s="4" t="s">
        <v>10</v>
      </c>
      <c r="C10" s="4" t="s">
        <v>11</v>
      </c>
      <c r="D10" s="4">
        <v>31</v>
      </c>
      <c r="E10" s="4" t="s">
        <v>25</v>
      </c>
      <c r="F10" s="4" t="s">
        <v>28</v>
      </c>
      <c r="G10" s="4">
        <v>42000</v>
      </c>
      <c r="H10" s="5">
        <v>37843</v>
      </c>
      <c r="I10" s="5">
        <v>40800</v>
      </c>
      <c r="J10" s="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J22" sqref="J22"/>
    </sheetView>
  </sheetViews>
  <sheetFormatPr defaultColWidth="14.5703125" defaultRowHeight="15" x14ac:dyDescent="0.25"/>
  <cols>
    <col min="4" max="4" width="8" customWidth="1"/>
    <col min="10" max="10" width="44.5703125" bestFit="1" customWidth="1"/>
  </cols>
  <sheetData>
    <row r="1" spans="1:13" x14ac:dyDescent="0.25">
      <c r="A1" s="4" t="s">
        <v>19</v>
      </c>
      <c r="B1" s="4" t="s">
        <v>0</v>
      </c>
      <c r="C1" s="4" t="s">
        <v>1</v>
      </c>
      <c r="D1" s="4" t="s">
        <v>22</v>
      </c>
      <c r="E1" s="4" t="s">
        <v>23</v>
      </c>
      <c r="F1" s="4" t="s">
        <v>20</v>
      </c>
      <c r="G1" s="4" t="s">
        <v>21</v>
      </c>
      <c r="H1" s="4" t="s">
        <v>34</v>
      </c>
      <c r="I1" s="4" t="s">
        <v>35</v>
      </c>
      <c r="J1" s="4" t="s">
        <v>36</v>
      </c>
      <c r="K1" s="4" t="s">
        <v>81</v>
      </c>
      <c r="L1" s="4" t="s">
        <v>87</v>
      </c>
      <c r="M1" s="4"/>
    </row>
    <row r="2" spans="1:13" x14ac:dyDescent="0.25">
      <c r="A2" s="4">
        <v>1001</v>
      </c>
      <c r="B2" s="4" t="s">
        <v>2</v>
      </c>
      <c r="C2" s="4" t="s">
        <v>3</v>
      </c>
      <c r="D2" s="4">
        <v>30</v>
      </c>
      <c r="E2" s="4" t="s">
        <v>25</v>
      </c>
      <c r="F2" s="4" t="s">
        <v>24</v>
      </c>
      <c r="G2" s="4">
        <v>45000</v>
      </c>
      <c r="H2" s="7" t="s">
        <v>46</v>
      </c>
      <c r="I2" s="7" t="s">
        <v>54</v>
      </c>
      <c r="J2" s="5" t="s">
        <v>37</v>
      </c>
      <c r="K2" s="4" t="str" cm="1">
        <f t="array" ref="K2:K10">LEFT(F2:F10,4)</f>
        <v>Sale</v>
      </c>
      <c r="L2" s="4" t="str" cm="1">
        <f t="array" ref="L2:L10">RIGHT(H2:H10,4)</f>
        <v>2001</v>
      </c>
      <c r="M2" s="4"/>
    </row>
    <row r="3" spans="1:13" x14ac:dyDescent="0.25">
      <c r="A3" s="4">
        <v>1002</v>
      </c>
      <c r="B3" s="4" t="s">
        <v>4</v>
      </c>
      <c r="C3" s="4" t="s">
        <v>5</v>
      </c>
      <c r="D3" s="4">
        <v>30</v>
      </c>
      <c r="E3" s="4" t="s">
        <v>27</v>
      </c>
      <c r="F3" s="4" t="s">
        <v>26</v>
      </c>
      <c r="G3" s="4">
        <v>36000</v>
      </c>
      <c r="H3" s="7" t="s">
        <v>47</v>
      </c>
      <c r="I3" s="7" t="s">
        <v>55</v>
      </c>
      <c r="J3" s="5" t="s">
        <v>38</v>
      </c>
      <c r="K3" s="4" t="str">
        <v>Rece</v>
      </c>
      <c r="L3" s="4" t="str">
        <v>1999</v>
      </c>
      <c r="M3" s="4"/>
    </row>
    <row r="4" spans="1:13" x14ac:dyDescent="0.25">
      <c r="A4" s="4">
        <v>1003</v>
      </c>
      <c r="B4" s="4" t="s">
        <v>6</v>
      </c>
      <c r="C4" s="4" t="s">
        <v>7</v>
      </c>
      <c r="D4" s="4">
        <v>29</v>
      </c>
      <c r="E4" s="4" t="s">
        <v>25</v>
      </c>
      <c r="F4" s="4" t="s">
        <v>24</v>
      </c>
      <c r="G4" s="4">
        <v>63000</v>
      </c>
      <c r="H4" s="7" t="s">
        <v>48</v>
      </c>
      <c r="I4" s="7" t="s">
        <v>56</v>
      </c>
      <c r="J4" s="5" t="s">
        <v>39</v>
      </c>
      <c r="K4" s="4" t="str">
        <v>Sale</v>
      </c>
      <c r="L4" s="4" t="str">
        <v>2000</v>
      </c>
      <c r="M4" s="4"/>
    </row>
    <row r="5" spans="1:13" x14ac:dyDescent="0.25">
      <c r="A5" s="4">
        <v>1004</v>
      </c>
      <c r="B5" s="4" t="s">
        <v>13</v>
      </c>
      <c r="C5" s="4" t="s">
        <v>12</v>
      </c>
      <c r="D5" s="4">
        <v>31</v>
      </c>
      <c r="E5" s="4" t="s">
        <v>27</v>
      </c>
      <c r="F5" s="4" t="s">
        <v>28</v>
      </c>
      <c r="G5" s="4">
        <v>47000</v>
      </c>
      <c r="H5" s="7" t="s">
        <v>49</v>
      </c>
      <c r="I5" s="7" t="s">
        <v>57</v>
      </c>
      <c r="J5" s="5" t="s">
        <v>40</v>
      </c>
      <c r="K5" s="4" t="str">
        <v>Acco</v>
      </c>
      <c r="L5" s="4" t="str">
        <v>2000</v>
      </c>
      <c r="M5" s="4"/>
    </row>
    <row r="6" spans="1:13" x14ac:dyDescent="0.25">
      <c r="A6" s="4">
        <v>1005</v>
      </c>
      <c r="B6" s="4" t="s">
        <v>14</v>
      </c>
      <c r="C6" s="4" t="s">
        <v>15</v>
      </c>
      <c r="D6" s="4">
        <v>32</v>
      </c>
      <c r="E6" s="4" t="s">
        <v>25</v>
      </c>
      <c r="F6" s="4" t="s">
        <v>29</v>
      </c>
      <c r="G6" s="4">
        <v>50000</v>
      </c>
      <c r="H6" s="7" t="s">
        <v>50</v>
      </c>
      <c r="I6" s="7" t="s">
        <v>58</v>
      </c>
      <c r="J6" s="5" t="s">
        <v>41</v>
      </c>
      <c r="K6" s="4" t="str">
        <v>HR</v>
      </c>
      <c r="L6" s="4" t="str">
        <v>2001</v>
      </c>
      <c r="M6" s="4"/>
    </row>
    <row r="7" spans="1:13" x14ac:dyDescent="0.25">
      <c r="A7" s="4">
        <v>1006</v>
      </c>
      <c r="B7" s="4" t="s">
        <v>8</v>
      </c>
      <c r="C7" s="4" t="s">
        <v>9</v>
      </c>
      <c r="D7" s="4">
        <v>35</v>
      </c>
      <c r="E7" s="4" t="s">
        <v>25</v>
      </c>
      <c r="F7" s="4" t="s">
        <v>30</v>
      </c>
      <c r="G7" s="4">
        <v>65000</v>
      </c>
      <c r="H7" s="7" t="s">
        <v>50</v>
      </c>
      <c r="I7" s="7" t="s">
        <v>59</v>
      </c>
      <c r="J7" s="5" t="s">
        <v>42</v>
      </c>
      <c r="K7" s="4" t="str">
        <v>Regi</v>
      </c>
      <c r="L7" s="4" t="str">
        <v>2001</v>
      </c>
      <c r="M7" s="4"/>
    </row>
    <row r="8" spans="1:13" x14ac:dyDescent="0.25">
      <c r="A8" s="4">
        <v>1007</v>
      </c>
      <c r="B8" s="4" t="s">
        <v>32</v>
      </c>
      <c r="C8" s="4" t="s">
        <v>33</v>
      </c>
      <c r="D8" s="4">
        <v>32</v>
      </c>
      <c r="E8" s="4" t="s">
        <v>27</v>
      </c>
      <c r="F8" s="4" t="s">
        <v>31</v>
      </c>
      <c r="G8" s="4">
        <v>41000</v>
      </c>
      <c r="H8" s="7" t="s">
        <v>51</v>
      </c>
      <c r="I8" s="7" t="s">
        <v>59</v>
      </c>
      <c r="J8" s="5" t="s">
        <v>43</v>
      </c>
      <c r="K8" s="4" t="str">
        <v>Supp</v>
      </c>
      <c r="L8" s="4" t="str">
        <v>2003</v>
      </c>
      <c r="M8" s="4"/>
    </row>
    <row r="9" spans="1:13" x14ac:dyDescent="0.25">
      <c r="A9" s="4">
        <v>1008</v>
      </c>
      <c r="B9" s="4" t="s">
        <v>16</v>
      </c>
      <c r="C9" s="4" t="s">
        <v>17</v>
      </c>
      <c r="D9" s="4">
        <v>38</v>
      </c>
      <c r="E9" s="4" t="s">
        <v>25</v>
      </c>
      <c r="F9" s="4" t="s">
        <v>24</v>
      </c>
      <c r="G9" s="4">
        <v>48000</v>
      </c>
      <c r="H9" s="7" t="s">
        <v>52</v>
      </c>
      <c r="I9" s="7" t="s">
        <v>60</v>
      </c>
      <c r="J9" s="5" t="s">
        <v>44</v>
      </c>
      <c r="K9" s="4" t="str">
        <v>Sale</v>
      </c>
      <c r="L9" s="4" t="str">
        <v>2002</v>
      </c>
      <c r="M9" s="4"/>
    </row>
    <row r="10" spans="1:13" x14ac:dyDescent="0.25">
      <c r="A10" s="4">
        <v>1009</v>
      </c>
      <c r="B10" s="4" t="s">
        <v>10</v>
      </c>
      <c r="C10" s="4" t="s">
        <v>11</v>
      </c>
      <c r="D10" s="4">
        <v>31</v>
      </c>
      <c r="E10" s="4" t="s">
        <v>25</v>
      </c>
      <c r="F10" s="4" t="s">
        <v>28</v>
      </c>
      <c r="G10" s="4">
        <v>42000</v>
      </c>
      <c r="H10" s="7" t="s">
        <v>53</v>
      </c>
      <c r="I10" s="7" t="s">
        <v>60</v>
      </c>
      <c r="J10" s="5" t="s">
        <v>45</v>
      </c>
      <c r="K10" s="4" t="str">
        <v>Acco</v>
      </c>
      <c r="L10" s="4" t="str">
        <v>2003</v>
      </c>
      <c r="M1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zoomScale="145" zoomScaleNormal="145"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23" bestFit="1" customWidth="1"/>
  </cols>
  <sheetData>
    <row r="1" spans="1:11" x14ac:dyDescent="0.25">
      <c r="A1" s="4" t="s">
        <v>19</v>
      </c>
      <c r="B1" s="4" t="s">
        <v>0</v>
      </c>
      <c r="C1" s="4" t="s">
        <v>1</v>
      </c>
      <c r="D1" s="4" t="s">
        <v>22</v>
      </c>
      <c r="E1" s="4" t="s">
        <v>23</v>
      </c>
      <c r="F1" s="4" t="s">
        <v>20</v>
      </c>
      <c r="G1" s="4" t="s">
        <v>21</v>
      </c>
      <c r="H1" s="4" t="s">
        <v>34</v>
      </c>
      <c r="I1" s="4" t="s">
        <v>35</v>
      </c>
      <c r="J1" s="4" t="s">
        <v>67</v>
      </c>
    </row>
    <row r="2" spans="1:11" x14ac:dyDescent="0.25">
      <c r="A2" s="4">
        <v>1001</v>
      </c>
      <c r="B2" s="4" t="s">
        <v>2</v>
      </c>
      <c r="C2" s="4" t="s">
        <v>3</v>
      </c>
      <c r="D2" s="4">
        <v>30</v>
      </c>
      <c r="E2" s="4" t="s">
        <v>25</v>
      </c>
      <c r="F2" s="4" t="s">
        <v>24</v>
      </c>
      <c r="G2" s="4">
        <v>45000</v>
      </c>
      <c r="H2" s="5">
        <v>37197</v>
      </c>
      <c r="I2" s="5">
        <v>42253</v>
      </c>
      <c r="J2" s="4" t="str" cm="1">
        <f t="array" ref="J2:J10">TEXT(H2:H10,"dd/mm/yyyy")</f>
        <v>02/11/2001</v>
      </c>
      <c r="K2" s="2"/>
    </row>
    <row r="3" spans="1:11" x14ac:dyDescent="0.25">
      <c r="A3" s="4">
        <v>1002</v>
      </c>
      <c r="B3" s="4" t="s">
        <v>4</v>
      </c>
      <c r="C3" s="4" t="s">
        <v>5</v>
      </c>
      <c r="D3" s="4">
        <v>30</v>
      </c>
      <c r="E3" s="4" t="s">
        <v>27</v>
      </c>
      <c r="F3" s="4" t="s">
        <v>26</v>
      </c>
      <c r="G3" s="4">
        <v>36000</v>
      </c>
      <c r="H3" s="5">
        <v>36436</v>
      </c>
      <c r="I3" s="5">
        <v>42287</v>
      </c>
      <c r="J3" s="4" t="str">
        <v>03/10/1999</v>
      </c>
      <c r="K3" s="2"/>
    </row>
    <row r="4" spans="1:11" x14ac:dyDescent="0.25">
      <c r="A4" s="4">
        <v>1003</v>
      </c>
      <c r="B4" s="4" t="s">
        <v>6</v>
      </c>
      <c r="C4" s="4" t="s">
        <v>7</v>
      </c>
      <c r="D4" s="4">
        <v>29</v>
      </c>
      <c r="E4" s="4" t="s">
        <v>25</v>
      </c>
      <c r="F4" s="4" t="s">
        <v>24</v>
      </c>
      <c r="G4" s="4">
        <v>63000</v>
      </c>
      <c r="H4" s="5">
        <v>36711</v>
      </c>
      <c r="I4" s="5">
        <v>42986</v>
      </c>
      <c r="J4" s="4" t="str">
        <v>04/07/2000</v>
      </c>
      <c r="K4" s="2"/>
    </row>
    <row r="5" spans="1:11" x14ac:dyDescent="0.25">
      <c r="A5" s="4">
        <v>1004</v>
      </c>
      <c r="B5" s="4" t="s">
        <v>13</v>
      </c>
      <c r="C5" s="4" t="s">
        <v>12</v>
      </c>
      <c r="D5" s="4">
        <v>31</v>
      </c>
      <c r="E5" s="4" t="s">
        <v>27</v>
      </c>
      <c r="F5" s="4" t="s">
        <v>28</v>
      </c>
      <c r="G5" s="4">
        <v>47000</v>
      </c>
      <c r="H5" s="5">
        <v>36530</v>
      </c>
      <c r="I5" s="5">
        <v>42341</v>
      </c>
      <c r="J5" s="4" t="str">
        <v>05/01/2000</v>
      </c>
      <c r="K5" s="2"/>
    </row>
    <row r="6" spans="1:11" x14ac:dyDescent="0.25">
      <c r="A6" s="4">
        <v>1005</v>
      </c>
      <c r="B6" s="4" t="s">
        <v>14</v>
      </c>
      <c r="C6" s="4" t="s">
        <v>15</v>
      </c>
      <c r="D6" s="4">
        <v>32</v>
      </c>
      <c r="E6" s="4" t="s">
        <v>25</v>
      </c>
      <c r="F6" s="4" t="s">
        <v>29</v>
      </c>
      <c r="G6" s="4">
        <v>50000</v>
      </c>
      <c r="H6" s="5">
        <v>37017</v>
      </c>
      <c r="I6" s="5">
        <v>42977</v>
      </c>
      <c r="J6" s="4" t="str">
        <v>06/05/2001</v>
      </c>
      <c r="K6" s="2"/>
    </row>
    <row r="7" spans="1:11" x14ac:dyDescent="0.25">
      <c r="A7" s="4">
        <v>1006</v>
      </c>
      <c r="B7" s="4" t="s">
        <v>8</v>
      </c>
      <c r="C7" s="4" t="s">
        <v>9</v>
      </c>
      <c r="D7" s="4">
        <v>35</v>
      </c>
      <c r="E7" s="4" t="s">
        <v>25</v>
      </c>
      <c r="F7" s="4" t="s">
        <v>30</v>
      </c>
      <c r="G7" s="4">
        <v>65000</v>
      </c>
      <c r="H7" s="5">
        <v>35040</v>
      </c>
      <c r="I7" s="5">
        <v>41528</v>
      </c>
      <c r="J7" s="4" t="str">
        <v>07/12/1995</v>
      </c>
      <c r="K7" s="2"/>
    </row>
    <row r="8" spans="1:11" x14ac:dyDescent="0.25">
      <c r="A8" s="4">
        <v>1007</v>
      </c>
      <c r="B8" s="4" t="s">
        <v>32</v>
      </c>
      <c r="C8" s="4" t="s">
        <v>33</v>
      </c>
      <c r="D8" s="4">
        <v>32</v>
      </c>
      <c r="E8" s="4" t="s">
        <v>27</v>
      </c>
      <c r="F8" s="4" t="s">
        <v>31</v>
      </c>
      <c r="G8" s="4">
        <v>41000</v>
      </c>
      <c r="H8" s="5">
        <v>37933</v>
      </c>
      <c r="I8" s="5">
        <v>41551</v>
      </c>
      <c r="J8" s="4" t="str">
        <v>08/11/2003</v>
      </c>
      <c r="K8" s="2"/>
    </row>
    <row r="9" spans="1:11" x14ac:dyDescent="0.25">
      <c r="A9" s="4">
        <v>1008</v>
      </c>
      <c r="B9" s="4" t="s">
        <v>16</v>
      </c>
      <c r="C9" s="4" t="s">
        <v>17</v>
      </c>
      <c r="D9" s="4">
        <v>38</v>
      </c>
      <c r="E9" s="4" t="s">
        <v>25</v>
      </c>
      <c r="F9" s="4" t="s">
        <v>24</v>
      </c>
      <c r="G9" s="4">
        <v>48000</v>
      </c>
      <c r="H9" s="5">
        <v>37416</v>
      </c>
      <c r="I9" s="5">
        <v>42116</v>
      </c>
      <c r="J9" s="4" t="str">
        <v>09/06/2002</v>
      </c>
      <c r="K9" s="2"/>
    </row>
    <row r="10" spans="1:11" x14ac:dyDescent="0.25">
      <c r="A10" s="4">
        <v>1009</v>
      </c>
      <c r="B10" s="4" t="s">
        <v>10</v>
      </c>
      <c r="C10" s="4" t="s">
        <v>11</v>
      </c>
      <c r="D10" s="4">
        <v>31</v>
      </c>
      <c r="E10" s="4" t="s">
        <v>25</v>
      </c>
      <c r="F10" s="4" t="s">
        <v>28</v>
      </c>
      <c r="G10" s="4">
        <v>42000</v>
      </c>
      <c r="H10" s="5">
        <v>37843</v>
      </c>
      <c r="I10" s="5">
        <v>40800</v>
      </c>
      <c r="J10" s="4" t="str">
        <v>10/08/2003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J10"/>
  <sheetViews>
    <sheetView zoomScale="145" zoomScaleNormal="145"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0" x14ac:dyDescent="0.25">
      <c r="A1" s="4" t="s">
        <v>19</v>
      </c>
      <c r="B1" s="4" t="s">
        <v>0</v>
      </c>
      <c r="C1" s="4" t="s">
        <v>1</v>
      </c>
      <c r="D1" s="4" t="s">
        <v>22</v>
      </c>
      <c r="E1" s="4" t="s">
        <v>23</v>
      </c>
      <c r="F1" s="4" t="s">
        <v>20</v>
      </c>
      <c r="G1" s="4" t="s">
        <v>21</v>
      </c>
      <c r="H1" s="4" t="s">
        <v>34</v>
      </c>
      <c r="I1" s="4" t="s">
        <v>35</v>
      </c>
      <c r="J1" s="4" t="s">
        <v>66</v>
      </c>
    </row>
    <row r="2" spans="1:10" x14ac:dyDescent="0.25">
      <c r="A2" s="4">
        <v>1001</v>
      </c>
      <c r="B2" s="7" t="s">
        <v>2</v>
      </c>
      <c r="C2" s="7" t="s">
        <v>3</v>
      </c>
      <c r="D2" s="4">
        <v>30</v>
      </c>
      <c r="E2" s="4" t="s">
        <v>25</v>
      </c>
      <c r="F2" s="4" t="s">
        <v>24</v>
      </c>
      <c r="G2" s="4">
        <v>45000</v>
      </c>
      <c r="H2" s="5">
        <v>37197</v>
      </c>
      <c r="I2" s="5">
        <v>42253</v>
      </c>
      <c r="J2" s="4" t="str" cm="1">
        <f t="array" ref="J2:J10">TRIM(C2:C10)</f>
        <v>Halpert</v>
      </c>
    </row>
    <row r="3" spans="1:10" x14ac:dyDescent="0.25">
      <c r="A3" s="4">
        <v>1002</v>
      </c>
      <c r="B3" s="7" t="s">
        <v>4</v>
      </c>
      <c r="C3" s="7" t="s">
        <v>5</v>
      </c>
      <c r="D3" s="4">
        <v>30</v>
      </c>
      <c r="E3" s="4" t="s">
        <v>27</v>
      </c>
      <c r="F3" s="4" t="s">
        <v>26</v>
      </c>
      <c r="G3" s="4">
        <v>36000</v>
      </c>
      <c r="H3" s="5">
        <v>36436</v>
      </c>
      <c r="I3" s="5">
        <v>42287</v>
      </c>
      <c r="J3" s="4" t="str">
        <v>Beasley</v>
      </c>
    </row>
    <row r="4" spans="1:10" x14ac:dyDescent="0.25">
      <c r="A4" s="4">
        <v>1003</v>
      </c>
      <c r="B4" s="7" t="s">
        <v>6</v>
      </c>
      <c r="C4" s="7" t="s">
        <v>65</v>
      </c>
      <c r="D4" s="4">
        <v>29</v>
      </c>
      <c r="E4" s="4" t="s">
        <v>25</v>
      </c>
      <c r="F4" s="4" t="s">
        <v>24</v>
      </c>
      <c r="G4" s="4">
        <v>63000</v>
      </c>
      <c r="H4" s="5">
        <v>36711</v>
      </c>
      <c r="I4" s="5">
        <v>42986</v>
      </c>
      <c r="J4" s="4" t="str">
        <v>Schrute</v>
      </c>
    </row>
    <row r="5" spans="1:10" x14ac:dyDescent="0.25">
      <c r="A5" s="4">
        <v>1004</v>
      </c>
      <c r="B5" s="7" t="s">
        <v>13</v>
      </c>
      <c r="C5" s="7" t="s">
        <v>12</v>
      </c>
      <c r="D5" s="4">
        <v>31</v>
      </c>
      <c r="E5" s="4" t="s">
        <v>27</v>
      </c>
      <c r="F5" s="4" t="s">
        <v>28</v>
      </c>
      <c r="G5" s="4">
        <v>47000</v>
      </c>
      <c r="H5" s="5">
        <v>36530</v>
      </c>
      <c r="I5" s="5">
        <v>42341</v>
      </c>
      <c r="J5" s="4" t="str">
        <v>Martin</v>
      </c>
    </row>
    <row r="6" spans="1:10" x14ac:dyDescent="0.25">
      <c r="A6" s="4">
        <v>1005</v>
      </c>
      <c r="B6" s="7" t="s">
        <v>14</v>
      </c>
      <c r="C6" s="7" t="s">
        <v>64</v>
      </c>
      <c r="D6" s="4">
        <v>32</v>
      </c>
      <c r="E6" s="4" t="s">
        <v>25</v>
      </c>
      <c r="F6" s="4" t="s">
        <v>29</v>
      </c>
      <c r="G6" s="4">
        <v>50000</v>
      </c>
      <c r="H6" s="5">
        <v>37017</v>
      </c>
      <c r="I6" s="5">
        <v>42977</v>
      </c>
      <c r="J6" s="4" t="str">
        <v>Flenderson</v>
      </c>
    </row>
    <row r="7" spans="1:10" x14ac:dyDescent="0.25">
      <c r="A7" s="4">
        <v>1006</v>
      </c>
      <c r="B7" s="7" t="s">
        <v>8</v>
      </c>
      <c r="C7" s="7" t="s">
        <v>63</v>
      </c>
      <c r="D7" s="4">
        <v>35</v>
      </c>
      <c r="E7" s="4" t="s">
        <v>25</v>
      </c>
      <c r="F7" s="4" t="s">
        <v>30</v>
      </c>
      <c r="G7" s="4">
        <v>65000</v>
      </c>
      <c r="H7" s="5">
        <v>35040</v>
      </c>
      <c r="I7" s="5">
        <v>41528</v>
      </c>
      <c r="J7" s="4" t="str">
        <v>Scott</v>
      </c>
    </row>
    <row r="8" spans="1:10" x14ac:dyDescent="0.25">
      <c r="A8" s="4">
        <v>1007</v>
      </c>
      <c r="B8" s="7" t="s">
        <v>32</v>
      </c>
      <c r="C8" s="7" t="s">
        <v>33</v>
      </c>
      <c r="D8" s="4">
        <v>32</v>
      </c>
      <c r="E8" s="4" t="s">
        <v>27</v>
      </c>
      <c r="F8" s="4" t="s">
        <v>31</v>
      </c>
      <c r="G8" s="4">
        <v>41000</v>
      </c>
      <c r="H8" s="5">
        <v>37933</v>
      </c>
      <c r="I8" s="5">
        <v>41551</v>
      </c>
      <c r="J8" s="4" t="str">
        <v>Palmer</v>
      </c>
    </row>
    <row r="9" spans="1:10" x14ac:dyDescent="0.25">
      <c r="A9" s="4">
        <v>1008</v>
      </c>
      <c r="B9" s="7" t="s">
        <v>16</v>
      </c>
      <c r="C9" s="7" t="s">
        <v>62</v>
      </c>
      <c r="D9" s="4">
        <v>38</v>
      </c>
      <c r="E9" s="4" t="s">
        <v>25</v>
      </c>
      <c r="F9" s="4" t="s">
        <v>24</v>
      </c>
      <c r="G9" s="4">
        <v>48000</v>
      </c>
      <c r="H9" s="5">
        <v>37416</v>
      </c>
      <c r="I9" s="5">
        <v>42116</v>
      </c>
      <c r="J9" s="4" t="str">
        <v>Hudson</v>
      </c>
    </row>
    <row r="10" spans="1:10" x14ac:dyDescent="0.25">
      <c r="A10" s="4">
        <v>1009</v>
      </c>
      <c r="B10" s="7" t="s">
        <v>10</v>
      </c>
      <c r="C10" s="7" t="s">
        <v>61</v>
      </c>
      <c r="D10" s="4">
        <v>31</v>
      </c>
      <c r="E10" s="4" t="s">
        <v>25</v>
      </c>
      <c r="F10" s="4" t="s">
        <v>28</v>
      </c>
      <c r="G10" s="4">
        <v>42000</v>
      </c>
      <c r="H10" s="5">
        <v>37843</v>
      </c>
      <c r="I10" s="5">
        <v>40800</v>
      </c>
      <c r="J10" s="4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zoomScale="145" zoomScaleNormal="145" workbookViewId="0">
      <selection activeCell="F24" sqref="F24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7.140625" bestFit="1" customWidth="1"/>
  </cols>
  <sheetData>
    <row r="1" spans="1:11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34</v>
      </c>
      <c r="I1" t="s">
        <v>35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t="str" cm="1">
        <f t="array" ref="J2:J10">CONCATENATE(B2:B10," ",C2:C10 )</f>
        <v>Jim Halpert</v>
      </c>
      <c r="K2" t="str" cm="1">
        <f t="array" ref="K2:K10">CONCATENATE(B2:B10,C2:C10,"@gmail.com")</f>
        <v>JimHalpert@gmail.com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 t="str">
        <v>Pam Beasley</v>
      </c>
      <c r="K3" t="str">
        <v>PamBeasley@gmail.com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 t="str">
        <v>Dwight Schrute</v>
      </c>
      <c r="K4" t="str">
        <v>DwightSchrute@gmail.com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 t="str">
        <v>Angela Martin</v>
      </c>
      <c r="K5" t="str">
        <v>AngelaMartin@gmail.com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 t="str">
        <v>Toby Flenderson</v>
      </c>
      <c r="K6" t="str">
        <v>TobyFlenderson@gmail.com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 t="str">
        <v>Michael Scott</v>
      </c>
      <c r="K7" t="str">
        <v>MichaelScott@gmail.com</v>
      </c>
    </row>
    <row r="8" spans="1:11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 t="str">
        <v>Meredith Palmer</v>
      </c>
      <c r="K8" t="str">
        <v>MeredithPalmer@gmail.com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 t="str">
        <v>Stanley Hudson</v>
      </c>
      <c r="K9" t="str">
        <v>StanleyHudson@gmail.com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 t="str">
        <v>Kevin Malone</v>
      </c>
      <c r="K10" t="str">
        <v>KevinMalone@gmail.com</v>
      </c>
    </row>
    <row r="11" spans="1:11" x14ac:dyDescent="0.25">
      <c r="H11" t="str">
        <f t="shared" ref="H11:H12" si="0">CONCATENATE(B11," ",C11)</f>
        <v xml:space="preserve"> </v>
      </c>
    </row>
    <row r="12" spans="1:11" x14ac:dyDescent="0.25">
      <c r="H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zoomScale="130" zoomScaleNormal="130"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14.42578125" bestFit="1" customWidth="1"/>
    <col min="11" max="11" width="15.28515625" bestFit="1" customWidth="1"/>
    <col min="12" max="12" width="17.28515625" bestFit="1" customWidth="1"/>
  </cols>
  <sheetData>
    <row r="1" spans="1:12" x14ac:dyDescent="0.25">
      <c r="A1" s="4" t="s">
        <v>19</v>
      </c>
      <c r="B1" s="4" t="s">
        <v>0</v>
      </c>
      <c r="C1" s="4" t="s">
        <v>1</v>
      </c>
      <c r="D1" s="4" t="s">
        <v>22</v>
      </c>
      <c r="E1" s="4" t="s">
        <v>23</v>
      </c>
      <c r="F1" s="4" t="s">
        <v>20</v>
      </c>
      <c r="G1" s="4" t="s">
        <v>21</v>
      </c>
      <c r="H1" s="4" t="s">
        <v>34</v>
      </c>
      <c r="I1" s="4" t="s">
        <v>35</v>
      </c>
      <c r="J1" s="4" t="s">
        <v>68</v>
      </c>
      <c r="K1" s="4" t="s">
        <v>69</v>
      </c>
      <c r="L1" s="4" t="s">
        <v>70</v>
      </c>
    </row>
    <row r="2" spans="1:12" x14ac:dyDescent="0.25">
      <c r="A2" s="4">
        <v>1001</v>
      </c>
      <c r="B2" s="4" t="s">
        <v>2</v>
      </c>
      <c r="C2" s="4" t="s">
        <v>3</v>
      </c>
      <c r="D2" s="4">
        <v>30</v>
      </c>
      <c r="E2" s="4" t="s">
        <v>25</v>
      </c>
      <c r="F2" s="4" t="s">
        <v>24</v>
      </c>
      <c r="G2" s="4">
        <v>45000</v>
      </c>
      <c r="H2" s="7" t="s">
        <v>46</v>
      </c>
      <c r="I2" s="7" t="s">
        <v>54</v>
      </c>
      <c r="J2" s="4" t="str" cm="1">
        <f t="array" ref="J2:J10">SUBSTITUTE(H2:H10,"/","-",1)</f>
        <v>11-2/2001</v>
      </c>
      <c r="K2" s="4" t="str" cm="1">
        <f t="array" ref="K2:K10">SUBSTITUTE(H2:H10,"/","-",2)</f>
        <v>11/2-2001</v>
      </c>
      <c r="L2" s="4" t="str" cm="1">
        <f t="array" ref="L2:L10">SUBSTITUTE(H2:H10,"/","-")</f>
        <v>11-2-2001</v>
      </c>
    </row>
    <row r="3" spans="1:12" x14ac:dyDescent="0.25">
      <c r="A3" s="4">
        <v>1002</v>
      </c>
      <c r="B3" s="4" t="s">
        <v>4</v>
      </c>
      <c r="C3" s="4" t="s">
        <v>5</v>
      </c>
      <c r="D3" s="4">
        <v>30</v>
      </c>
      <c r="E3" s="4" t="s">
        <v>27</v>
      </c>
      <c r="F3" s="4" t="s">
        <v>26</v>
      </c>
      <c r="G3" s="4">
        <v>36000</v>
      </c>
      <c r="H3" s="7" t="s">
        <v>47</v>
      </c>
      <c r="I3" s="7" t="s">
        <v>55</v>
      </c>
      <c r="J3" s="4" t="str">
        <v>10-3/1999</v>
      </c>
      <c r="K3" s="4" t="str">
        <v>10/3-1999</v>
      </c>
      <c r="L3" s="4" t="str">
        <v>10-3-1999</v>
      </c>
    </row>
    <row r="4" spans="1:12" x14ac:dyDescent="0.25">
      <c r="A4" s="4">
        <v>1003</v>
      </c>
      <c r="B4" s="4" t="s">
        <v>6</v>
      </c>
      <c r="C4" s="4" t="s">
        <v>7</v>
      </c>
      <c r="D4" s="4">
        <v>29</v>
      </c>
      <c r="E4" s="4" t="s">
        <v>25</v>
      </c>
      <c r="F4" s="4" t="s">
        <v>24</v>
      </c>
      <c r="G4" s="4">
        <v>63000</v>
      </c>
      <c r="H4" s="7" t="s">
        <v>48</v>
      </c>
      <c r="I4" s="7" t="s">
        <v>56</v>
      </c>
      <c r="J4" s="4" t="str">
        <v>7-4/2000</v>
      </c>
      <c r="K4" s="4" t="str">
        <v>7/4-2000</v>
      </c>
      <c r="L4" s="4" t="str">
        <v>7-4-2000</v>
      </c>
    </row>
    <row r="5" spans="1:12" x14ac:dyDescent="0.25">
      <c r="A5" s="4">
        <v>1004</v>
      </c>
      <c r="B5" s="4" t="s">
        <v>13</v>
      </c>
      <c r="C5" s="4" t="s">
        <v>12</v>
      </c>
      <c r="D5" s="4">
        <v>31</v>
      </c>
      <c r="E5" s="4" t="s">
        <v>27</v>
      </c>
      <c r="F5" s="4" t="s">
        <v>28</v>
      </c>
      <c r="G5" s="4">
        <v>47000</v>
      </c>
      <c r="H5" s="7" t="s">
        <v>49</v>
      </c>
      <c r="I5" s="7" t="s">
        <v>57</v>
      </c>
      <c r="J5" s="4" t="str">
        <v>1-5/2000</v>
      </c>
      <c r="K5" s="4" t="str">
        <v>1/5-2000</v>
      </c>
      <c r="L5" s="4" t="str">
        <v>1-5-2000</v>
      </c>
    </row>
    <row r="6" spans="1:12" x14ac:dyDescent="0.25">
      <c r="A6" s="4">
        <v>1005</v>
      </c>
      <c r="B6" s="4" t="s">
        <v>14</v>
      </c>
      <c r="C6" s="4" t="s">
        <v>15</v>
      </c>
      <c r="D6" s="4">
        <v>32</v>
      </c>
      <c r="E6" s="4" t="s">
        <v>25</v>
      </c>
      <c r="F6" s="4" t="s">
        <v>29</v>
      </c>
      <c r="G6" s="4">
        <v>50000</v>
      </c>
      <c r="H6" s="7" t="s">
        <v>50</v>
      </c>
      <c r="I6" s="7" t="s">
        <v>58</v>
      </c>
      <c r="J6" s="4" t="str">
        <v>5-6/2001</v>
      </c>
      <c r="K6" s="4" t="str">
        <v>5/6-2001</v>
      </c>
      <c r="L6" s="4" t="str">
        <v>5-6-2001</v>
      </c>
    </row>
    <row r="7" spans="1:12" x14ac:dyDescent="0.25">
      <c r="A7" s="4">
        <v>1006</v>
      </c>
      <c r="B7" s="4" t="s">
        <v>8</v>
      </c>
      <c r="C7" s="4" t="s">
        <v>9</v>
      </c>
      <c r="D7" s="4">
        <v>35</v>
      </c>
      <c r="E7" s="4" t="s">
        <v>25</v>
      </c>
      <c r="F7" s="4" t="s">
        <v>30</v>
      </c>
      <c r="G7" s="4">
        <v>65000</v>
      </c>
      <c r="H7" s="7" t="s">
        <v>50</v>
      </c>
      <c r="I7" s="7" t="s">
        <v>59</v>
      </c>
      <c r="J7" s="4" t="str">
        <v>5-6/2001</v>
      </c>
      <c r="K7" s="4" t="str">
        <v>5/6-2001</v>
      </c>
      <c r="L7" s="4" t="str">
        <v>5-6-2001</v>
      </c>
    </row>
    <row r="8" spans="1:12" x14ac:dyDescent="0.25">
      <c r="A8" s="4">
        <v>1007</v>
      </c>
      <c r="B8" s="4" t="s">
        <v>32</v>
      </c>
      <c r="C8" s="4" t="s">
        <v>33</v>
      </c>
      <c r="D8" s="4">
        <v>32</v>
      </c>
      <c r="E8" s="4" t="s">
        <v>27</v>
      </c>
      <c r="F8" s="4" t="s">
        <v>31</v>
      </c>
      <c r="G8" s="4">
        <v>41000</v>
      </c>
      <c r="H8" s="7" t="s">
        <v>51</v>
      </c>
      <c r="I8" s="7" t="s">
        <v>59</v>
      </c>
      <c r="J8" s="4" t="str">
        <v>11-8/2003</v>
      </c>
      <c r="K8" s="4" t="str">
        <v>11/8-2003</v>
      </c>
      <c r="L8" s="4" t="str">
        <v>11-8-2003</v>
      </c>
    </row>
    <row r="9" spans="1:12" x14ac:dyDescent="0.25">
      <c r="A9" s="4">
        <v>1008</v>
      </c>
      <c r="B9" s="4" t="s">
        <v>16</v>
      </c>
      <c r="C9" s="4" t="s">
        <v>17</v>
      </c>
      <c r="D9" s="4">
        <v>38</v>
      </c>
      <c r="E9" s="4" t="s">
        <v>25</v>
      </c>
      <c r="F9" s="4" t="s">
        <v>24</v>
      </c>
      <c r="G9" s="4">
        <v>48000</v>
      </c>
      <c r="H9" s="7" t="s">
        <v>52</v>
      </c>
      <c r="I9" s="7" t="s">
        <v>60</v>
      </c>
      <c r="J9" s="4" t="str">
        <v>6-9/2002</v>
      </c>
      <c r="K9" s="4" t="str">
        <v>6/9-2002</v>
      </c>
      <c r="L9" s="4" t="str">
        <v>6-9-2002</v>
      </c>
    </row>
    <row r="10" spans="1:12" x14ac:dyDescent="0.25">
      <c r="A10" s="4">
        <v>1009</v>
      </c>
      <c r="B10" s="4" t="s">
        <v>10</v>
      </c>
      <c r="C10" s="4" t="s">
        <v>11</v>
      </c>
      <c r="D10" s="4">
        <v>31</v>
      </c>
      <c r="E10" s="4" t="s">
        <v>25</v>
      </c>
      <c r="F10" s="4" t="s">
        <v>28</v>
      </c>
      <c r="G10" s="4">
        <v>42000</v>
      </c>
      <c r="H10" s="7" t="s">
        <v>53</v>
      </c>
      <c r="I10" s="7" t="s">
        <v>60</v>
      </c>
      <c r="J10" s="4" t="str">
        <v>8-10/2003</v>
      </c>
      <c r="K10" s="4" t="str">
        <v>8/10-2003</v>
      </c>
      <c r="L10" s="4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zoomScale="145" zoomScaleNormal="145"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34</v>
      </c>
      <c r="I1" t="s">
        <v>35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zoomScale="160" zoomScaleNormal="160"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34</v>
      </c>
      <c r="I1" t="s">
        <v>35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COUNTIF(G2:G10,"&gt;50000")</f>
        <v>2</v>
      </c>
      <c r="L2">
        <f>COUNTIFS(G2:G10,"&gt;50000",E2:E10,"Male")</f>
        <v>2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zoomScale="145" zoomScaleNormal="145" workbookViewId="0">
      <selection activeCell="L7" sqref="L7"/>
    </sheetView>
  </sheetViews>
  <sheetFormatPr defaultRowHeight="15" x14ac:dyDescent="0.25"/>
  <cols>
    <col min="8" max="8" width="14.42578125" customWidth="1"/>
    <col min="9" max="9" width="13.28515625" customWidth="1"/>
    <col min="11" max="11" width="14.7109375" bestFit="1" customWidth="1"/>
  </cols>
  <sheetData>
    <row r="1" spans="1:11" x14ac:dyDescent="0.25">
      <c r="A1" s="4" t="s">
        <v>19</v>
      </c>
      <c r="B1" s="4" t="s">
        <v>0</v>
      </c>
      <c r="C1" s="4" t="s">
        <v>1</v>
      </c>
      <c r="D1" s="4" t="s">
        <v>22</v>
      </c>
      <c r="E1" s="4" t="s">
        <v>23</v>
      </c>
      <c r="F1" s="4" t="s">
        <v>20</v>
      </c>
      <c r="G1" s="4" t="s">
        <v>21</v>
      </c>
      <c r="H1" s="4" t="s">
        <v>34</v>
      </c>
      <c r="I1" s="4" t="s">
        <v>35</v>
      </c>
      <c r="J1" s="4" t="s">
        <v>79</v>
      </c>
      <c r="K1" s="4" t="s">
        <v>80</v>
      </c>
    </row>
    <row r="2" spans="1:11" x14ac:dyDescent="0.25">
      <c r="A2" s="4">
        <v>1001</v>
      </c>
      <c r="B2" s="4" t="s">
        <v>2</v>
      </c>
      <c r="C2" s="4" t="s">
        <v>3</v>
      </c>
      <c r="D2" s="4">
        <v>30</v>
      </c>
      <c r="E2" s="4" t="s">
        <v>25</v>
      </c>
      <c r="F2" s="4" t="s">
        <v>24</v>
      </c>
      <c r="G2" s="4">
        <v>45000</v>
      </c>
      <c r="H2" s="7" t="s">
        <v>46</v>
      </c>
      <c r="I2" s="7" t="s">
        <v>54</v>
      </c>
      <c r="J2" s="4">
        <f>_xlfn.DAYS(I2,H2)</f>
        <v>5231</v>
      </c>
      <c r="K2" s="4">
        <f>NETWORKDAYS(H2,I2)</f>
        <v>3737</v>
      </c>
    </row>
    <row r="3" spans="1:11" x14ac:dyDescent="0.25">
      <c r="A3" s="4">
        <v>1002</v>
      </c>
      <c r="B3" s="4" t="s">
        <v>4</v>
      </c>
      <c r="C3" s="4" t="s">
        <v>5</v>
      </c>
      <c r="D3" s="4">
        <v>30</v>
      </c>
      <c r="E3" s="4" t="s">
        <v>27</v>
      </c>
      <c r="F3" s="4" t="s">
        <v>26</v>
      </c>
      <c r="G3" s="4">
        <v>36000</v>
      </c>
      <c r="H3" s="7" t="s">
        <v>47</v>
      </c>
      <c r="I3" s="7" t="s">
        <v>55</v>
      </c>
      <c r="J3" s="4">
        <f t="shared" ref="J3:J10" si="0">_xlfn.DAYS(I3,H3)</f>
        <v>6058</v>
      </c>
      <c r="K3" s="4">
        <f t="shared" ref="K3:K10" si="1">NETWORKDAYS(H3,I3)</f>
        <v>4328</v>
      </c>
    </row>
    <row r="4" spans="1:11" x14ac:dyDescent="0.25">
      <c r="A4" s="4">
        <v>1003</v>
      </c>
      <c r="B4" s="4" t="s">
        <v>6</v>
      </c>
      <c r="C4" s="4" t="s">
        <v>7</v>
      </c>
      <c r="D4" s="4">
        <v>29</v>
      </c>
      <c r="E4" s="4" t="s">
        <v>25</v>
      </c>
      <c r="F4" s="4" t="s">
        <v>24</v>
      </c>
      <c r="G4" s="4">
        <v>63000</v>
      </c>
      <c r="H4" s="7" t="s">
        <v>48</v>
      </c>
      <c r="I4" s="7" t="s">
        <v>56</v>
      </c>
      <c r="J4" s="4">
        <f t="shared" si="0"/>
        <v>6333</v>
      </c>
      <c r="K4" s="4">
        <f t="shared" si="1"/>
        <v>4524</v>
      </c>
    </row>
    <row r="5" spans="1:11" x14ac:dyDescent="0.25">
      <c r="A5" s="4">
        <v>1004</v>
      </c>
      <c r="B5" s="4" t="s">
        <v>13</v>
      </c>
      <c r="C5" s="4" t="s">
        <v>12</v>
      </c>
      <c r="D5" s="4">
        <v>31</v>
      </c>
      <c r="E5" s="4" t="s">
        <v>27</v>
      </c>
      <c r="F5" s="4" t="s">
        <v>28</v>
      </c>
      <c r="G5" s="4">
        <v>47000</v>
      </c>
      <c r="H5" s="7" t="s">
        <v>49</v>
      </c>
      <c r="I5" s="7" t="s">
        <v>57</v>
      </c>
      <c r="J5" s="4">
        <f t="shared" si="0"/>
        <v>5428</v>
      </c>
      <c r="K5" s="4">
        <f t="shared" si="1"/>
        <v>3879</v>
      </c>
    </row>
    <row r="6" spans="1:11" x14ac:dyDescent="0.25">
      <c r="A6" s="4">
        <v>1005</v>
      </c>
      <c r="B6" s="4" t="s">
        <v>14</v>
      </c>
      <c r="C6" s="4" t="s">
        <v>15</v>
      </c>
      <c r="D6" s="4">
        <v>32</v>
      </c>
      <c r="E6" s="4" t="s">
        <v>25</v>
      </c>
      <c r="F6" s="4" t="s">
        <v>29</v>
      </c>
      <c r="G6" s="4">
        <v>50000</v>
      </c>
      <c r="H6" s="7" t="s">
        <v>50</v>
      </c>
      <c r="I6" s="7" t="s">
        <v>58</v>
      </c>
      <c r="J6" s="4" t="e">
        <f t="shared" si="0"/>
        <v>#VALUE!</v>
      </c>
      <c r="K6" s="4" t="e">
        <f t="shared" si="1"/>
        <v>#VALUE!</v>
      </c>
    </row>
    <row r="7" spans="1:11" x14ac:dyDescent="0.25">
      <c r="A7" s="4">
        <v>1006</v>
      </c>
      <c r="B7" s="4" t="s">
        <v>8</v>
      </c>
      <c r="C7" s="4" t="s">
        <v>9</v>
      </c>
      <c r="D7" s="4">
        <v>35</v>
      </c>
      <c r="E7" s="4" t="s">
        <v>25</v>
      </c>
      <c r="F7" s="4" t="s">
        <v>30</v>
      </c>
      <c r="G7" s="4">
        <v>65000</v>
      </c>
      <c r="H7" s="7" t="s">
        <v>50</v>
      </c>
      <c r="I7" s="7" t="s">
        <v>59</v>
      </c>
      <c r="J7" s="4">
        <f t="shared" si="0"/>
        <v>4540</v>
      </c>
      <c r="K7" s="4">
        <f t="shared" si="1"/>
        <v>3244</v>
      </c>
    </row>
    <row r="8" spans="1:11" x14ac:dyDescent="0.25">
      <c r="A8" s="4">
        <v>1007</v>
      </c>
      <c r="B8" s="4" t="s">
        <v>32</v>
      </c>
      <c r="C8" s="4" t="s">
        <v>33</v>
      </c>
      <c r="D8" s="4">
        <v>32</v>
      </c>
      <c r="E8" s="4" t="s">
        <v>27</v>
      </c>
      <c r="F8" s="4" t="s">
        <v>31</v>
      </c>
      <c r="G8" s="4">
        <v>41000</v>
      </c>
      <c r="H8" s="7" t="s">
        <v>51</v>
      </c>
      <c r="I8" s="7" t="s">
        <v>59</v>
      </c>
      <c r="J8" s="4">
        <f t="shared" si="0"/>
        <v>3743</v>
      </c>
      <c r="K8" s="4">
        <f t="shared" si="1"/>
        <v>2675</v>
      </c>
    </row>
    <row r="9" spans="1:11" x14ac:dyDescent="0.25">
      <c r="A9" s="4">
        <v>1008</v>
      </c>
      <c r="B9" s="4" t="s">
        <v>16</v>
      </c>
      <c r="C9" s="4" t="s">
        <v>17</v>
      </c>
      <c r="D9" s="4">
        <v>38</v>
      </c>
      <c r="E9" s="4" t="s">
        <v>25</v>
      </c>
      <c r="F9" s="4" t="s">
        <v>24</v>
      </c>
      <c r="G9" s="4">
        <v>48000</v>
      </c>
      <c r="H9" s="7" t="s">
        <v>52</v>
      </c>
      <c r="I9" s="7" t="s">
        <v>60</v>
      </c>
      <c r="J9" s="4" t="e">
        <f t="shared" si="0"/>
        <v>#VALUE!</v>
      </c>
      <c r="K9" s="4" t="e">
        <f t="shared" si="1"/>
        <v>#VALUE!</v>
      </c>
    </row>
    <row r="10" spans="1:11" x14ac:dyDescent="0.25">
      <c r="A10" s="4">
        <v>1009</v>
      </c>
      <c r="B10" s="4" t="s">
        <v>10</v>
      </c>
      <c r="C10" s="4" t="s">
        <v>11</v>
      </c>
      <c r="D10" s="4">
        <v>31</v>
      </c>
      <c r="E10" s="4" t="s">
        <v>25</v>
      </c>
      <c r="F10" s="4" t="s">
        <v>28</v>
      </c>
      <c r="G10" s="4">
        <v>42000</v>
      </c>
      <c r="H10" s="7" t="s">
        <v>53</v>
      </c>
      <c r="I10" s="7" t="s">
        <v>60</v>
      </c>
      <c r="J10" s="4" t="e">
        <f t="shared" si="0"/>
        <v>#VALUE!</v>
      </c>
      <c r="K10" s="4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jay gelani</cp:lastModifiedBy>
  <dcterms:created xsi:type="dcterms:W3CDTF">2021-12-16T14:18:34Z</dcterms:created>
  <dcterms:modified xsi:type="dcterms:W3CDTF">2026-06-05T10:11:17Z</dcterms:modified>
</cp:coreProperties>
</file>