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t\Excel\Learning\"/>
    </mc:Choice>
  </mc:AlternateContent>
  <xr:revisionPtr revIDLastSave="0" documentId="8_{339DEE6C-0D72-4C83-B3B7-897C6110EB12}" xr6:coauthVersionLast="47" xr6:coauthVersionMax="47" xr10:uidLastSave="{00000000-0000-0000-0000-000000000000}"/>
  <bookViews>
    <workbookView xWindow="-120" yWindow="-120" windowWidth="29040" windowHeight="15720" activeTab="6" xr2:uid="{5EA44D8F-79D3-45F5-A0F6-C7F47358B7ED}"/>
  </bookViews>
  <sheets>
    <sheet name="XLookUp" sheetId="1" r:id="rId1"/>
    <sheet name="XLookUp Multiple Rows" sheetId="6" r:id="rId2"/>
    <sheet name="XLookUp Exact Match" sheetId="8" r:id="rId3"/>
    <sheet name="XLookUp Search Order" sheetId="9" r:id="rId4"/>
    <sheet name="XLookUp Horizontal" sheetId="4" r:id="rId5"/>
    <sheet name="XLookUp w SUM" sheetId="7" r:id="rId6"/>
    <sheet name="VLookUp" sheetId="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2" l="1"/>
  <c r="B5" i="2"/>
  <c r="B3" i="2"/>
  <c r="B7" i="7"/>
  <c r="B3" i="7"/>
  <c r="B4" i="7"/>
  <c r="B2" i="7"/>
  <c r="B3" i="4"/>
  <c r="B4" i="4"/>
  <c r="B2" i="4"/>
  <c r="B4" i="9"/>
  <c r="B3" i="9"/>
  <c r="B6" i="8"/>
  <c r="B5" i="8"/>
  <c r="B3" i="8"/>
  <c r="B4" i="8"/>
  <c r="B4" i="6" a="1"/>
  <c r="B4" i="6" s="1"/>
  <c r="B5" i="6" a="1"/>
  <c r="B5" i="6"/>
  <c r="B6" i="6" a="1"/>
  <c r="B6" i="6"/>
  <c r="B3" i="6" a="1"/>
  <c r="B3" i="6" s="1"/>
  <c r="B4" i="1"/>
  <c r="B5" i="1"/>
  <c r="B6" i="1"/>
  <c r="B3" i="1"/>
  <c r="I23" i="9"/>
  <c r="I22" i="9"/>
  <c r="H23" i="8"/>
  <c r="H22" i="8"/>
  <c r="I23" i="6"/>
  <c r="I22" i="6"/>
  <c r="H22" i="1"/>
  <c r="H2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<sst xmlns="http://schemas.openxmlformats.org/spreadsheetml/2006/main" count="485" uniqueCount="92">
  <si>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</si>
  <si>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</si>
  <si>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</si>
  <si>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</si>
  <si>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</si>
  <si>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</si>
  <si>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</si>
  <si>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</si>
  <si>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</si>
  <si>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</si>
  <si>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</si>
  <si>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</si>
  <si>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</si>
  <si>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</si>
  <si>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</si>
  <si>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</si>
  <si>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</si>
  <si>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</si>
  <si>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</si>
  <si>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</si>
  <si>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</si>
  <si>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</si>
  <si>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</si>
  <si>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</si>
  <si>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</si>
  <si>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</si>
  <si>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</si>
  <si>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</si>
  <si>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</si>
  <si>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</si>
  <si>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</si>
  <si>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</si>
  <si>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</si>
  <si>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</si>
  <si>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</si>
  <si>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</si>
  <si>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</si>
  <si>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</si>
  <si>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</si>
  <si>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</si>
  <si>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</si>
  <si>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</si>
  <si>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</si>
  <si>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</si>
  <si>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</si>
  <si>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</si>
  <si>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</si>
  <si>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</si>
  <si>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</si>
  <si>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</si>
  <si>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</si>
  <si>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</si>
  <si>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</si>
  <si>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</si>
  <si>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</si>
  <si>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</si>
  <si>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</si>
  <si>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</si>
  <si>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</si>
  <si>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</si>
  <si>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</si>
  <si>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</si>
  <si>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</si>
  <si>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</si>
  <si>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</si>
  <si>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</si>
  <si>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</si>
  <si>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</si>
  <si>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</si>
  <si>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</si>
  <si>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</si>
  <si>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</si>
  <si>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</si>
  <si>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</si>
  <si>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</si>
  <si>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</si>
  <si>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</si>
  <si>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</si>
  <si>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</si>
  <si>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</si>
  <si>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</si>
  <si>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</si>
  <si>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</si>
  <si>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</si>
  <si>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</si>
  <si>
    <t>February-March</t>
  </si>
  <si>
    <t>Toby Flender</t>
  </si>
  <si>
    <t>Kevin Malo</t>
  </si>
  <si>
    <t>Start Date</t>
  </si>
  <si>
    <t>Person</t>
  </si>
  <si>
    <t>1/1/2000</t>
  </si>
  <si>
    <t>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</si>
</sst>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P23"/>
  <sheetViews>
    <sheetView zoomScale="160" zoomScaleNormal="160" workbookViewId="0">
      <selection activeCell="B11" sqref="B11"/>
    </sheetView>
  </sheetViews>
  <sheetFormatPr defaultRowHeight="15" x14ac:dyDescent="0.25"/>
  <cols>
    <col min="1" max="1" width="16.140625" bestFit="1" customWidth="1"/>
    <col min="2" max="2" width="44.5703125" bestFit="1" customWidth="1"/>
    <col min="8" max="8" width="14.7109375" bestFit="1" customWidth="1"/>
    <col min="12" max="12" width="15.7109375" bestFit="1" customWidth="1"/>
    <col min="16" max="16" width="40.7109375" bestFit="1" customWidth="1"/>
  </cols>
  <sheetData>
    <row r="1" spans="1:16" x14ac:dyDescent="0.25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91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5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5">
      <c r="A3" t="s">
        <v>65</v>
      </c>
      <c r="B3" t="str">
        <f>_xlfn.XLOOKUP(A3,H2:H10,P2:P10)</f>
        <v>Toby.Flenderson@DunderMifflinCorporate.com</v>
      </c>
      <c r="E3">
        <v>1002</v>
      </c>
      <c r="F3" t="s">
        <v>17</v>
      </c>
      <c r="G3" t="s">
        <v>18</v>
      </c>
      <c r="H3" t="s">
        <v>62</v>
      </c>
      <c r="I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5">
      <c r="A4" t="s">
        <v>62</v>
      </c>
      <c r="B4" t="str">
        <f t="shared" ref="B4:B6" si="0">_xlfn.XLOOKUP(A4,H3:H11,P3:P11)</f>
        <v>Pam.Beasley@DunderMifflin.com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5">
      <c r="A5" t="s">
        <v>67</v>
      </c>
      <c r="B5" t="str">
        <f t="shared" si="0"/>
        <v>Meredith.Palmer@Yahoo.com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5">
      <c r="A6" t="s">
        <v>69</v>
      </c>
      <c r="B6" t="str">
        <f t="shared" si="0"/>
        <v>Kevin.Malone@DunderMifflin.com</v>
      </c>
      <c r="E6">
        <v>1005</v>
      </c>
      <c r="F6" t="s">
        <v>35</v>
      </c>
      <c r="G6" t="s">
        <v>36</v>
      </c>
      <c r="H6" t="s">
        <v>65</v>
      </c>
      <c r="I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5">
      <c r="E7">
        <v>1006</v>
      </c>
      <c r="F7" t="s">
        <v>41</v>
      </c>
      <c r="G7" t="s">
        <v>42</v>
      </c>
      <c r="H7" t="s">
        <v>66</v>
      </c>
      <c r="I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5">
      <c r="E8">
        <v>1007</v>
      </c>
      <c r="F8" t="s">
        <v>46</v>
      </c>
      <c r="G8" t="s">
        <v>47</v>
      </c>
      <c r="H8" t="s">
        <v>67</v>
      </c>
      <c r="I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5">
      <c r="E9">
        <v>1008</v>
      </c>
      <c r="F9" t="s">
        <v>51</v>
      </c>
      <c r="G9" t="s">
        <v>52</v>
      </c>
      <c r="H9" t="s">
        <v>68</v>
      </c>
      <c r="I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5">
      <c r="E10">
        <v>1009</v>
      </c>
      <c r="F10" t="s">
        <v>56</v>
      </c>
      <c r="G10" t="s">
        <v>57</v>
      </c>
      <c r="H10" t="s">
        <v>69</v>
      </c>
      <c r="I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8:8" x14ac:dyDescent="0.25">
      <c r="H22" t="str">
        <f t="shared" ref="H22:H23" si="1">CONCATENATE(F12," ",G12)</f>
        <v xml:space="preserve"> </v>
      </c>
    </row>
    <row r="23" spans="8:8" x14ac:dyDescent="0.25">
      <c r="H23" t="str">
        <f t="shared" si="1"/>
        <v xml:space="preserve"> 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F05A7-3704-402E-8684-C856D6F82881}">
  <dimension ref="A1:P23"/>
  <sheetViews>
    <sheetView zoomScale="130" zoomScaleNormal="130" workbookViewId="0">
      <selection activeCell="B1" sqref="B1:B1048576"/>
    </sheetView>
  </sheetViews>
  <sheetFormatPr defaultRowHeight="15" x14ac:dyDescent="0.25"/>
  <cols>
    <col min="1" max="1" width="16.140625" bestFit="1" customWidth="1"/>
    <col min="2" max="2" width="11.28515625" bestFit="1" customWidth="1"/>
    <col min="3" max="3" width="44.5703125" bestFit="1" customWidth="1"/>
    <col min="9" max="9" width="14.7109375" bestFit="1" customWidth="1"/>
    <col min="12" max="12" width="15.7109375" bestFit="1" customWidth="1"/>
    <col min="16" max="16" width="40.7109375" bestFit="1" customWidth="1"/>
  </cols>
  <sheetData>
    <row r="1" spans="1:16" x14ac:dyDescent="0.25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5">
      <c r="A2" t="s">
        <v>60</v>
      </c>
      <c r="B2" t="s">
        <v>8</v>
      </c>
      <c r="C2" t="s">
        <v>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5">
      <c r="A3" t="s">
        <v>65</v>
      </c>
      <c r="B3" t="str" cm="1">
        <f t="array" ref="B3:C3">_xlfn.XLOOKUP(A3,I2:I10,O2:P10)</f>
        <v>8/30/2017</v>
      </c>
      <c r="C3" t="str">
        <v>Toby.Flenderson@DunderMifflinCorporate.com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5">
      <c r="A4" t="s">
        <v>62</v>
      </c>
      <c r="B4" t="str" cm="1">
        <f t="array" ref="B4:C4">_xlfn.XLOOKUP(A4,I3:I11,O3:P11)</f>
        <v>10/10/2015</v>
      </c>
      <c r="C4" t="str">
        <v>Pam.Beasley@DunderMifflin.com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5">
      <c r="A5" t="s">
        <v>67</v>
      </c>
      <c r="B5" t="str" cm="1">
        <f t="array" ref="B5:C5">_xlfn.XLOOKUP(A5,I4:I12,O4:P12)</f>
        <v>9/11/2013</v>
      </c>
      <c r="C5" t="str">
        <v>Meredith.Palmer@Yahoo.com</v>
      </c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5">
      <c r="A6" t="s">
        <v>69</v>
      </c>
      <c r="B6" t="str" cm="1">
        <f t="array" ref="B6:C6">_xlfn.XLOOKUP(A6,I5:I13,O5:P13)</f>
        <v>4/22/2015</v>
      </c>
      <c r="C6" t="str">
        <v>Kevin.Malone@DunderMifflin.com</v>
      </c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5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5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5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5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9:9" x14ac:dyDescent="0.25">
      <c r="I22" t="str">
        <f t="shared" ref="I22:I23" si="0">CONCATENATE(G12," ",H12)</f>
        <v xml:space="preserve"> </v>
      </c>
    </row>
    <row r="23" spans="9:9" x14ac:dyDescent="0.25">
      <c r="I23" t="str">
        <f t="shared" si="0"/>
        <v xml:space="preserve"> 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7D64C-38C9-4586-AD37-471BFBE38708}">
  <dimension ref="A1:O23"/>
  <sheetViews>
    <sheetView zoomScale="130" zoomScaleNormal="130" workbookViewId="0">
      <selection activeCell="C11" sqref="C11"/>
    </sheetView>
  </sheetViews>
  <sheetFormatPr defaultRowHeight="15" x14ac:dyDescent="0.25"/>
  <cols>
    <col min="1" max="1" width="14.7109375" bestFit="1" customWidth="1"/>
    <col min="2" max="2" width="33" bestFit="1" customWidth="1"/>
    <col min="8" max="8" width="14.7109375" bestFit="1" customWidth="1"/>
    <col min="11" max="11" width="15.7109375" bestFit="1" customWidth="1"/>
    <col min="15" max="15" width="40.7109375" bestFit="1" customWidth="1"/>
  </cols>
  <sheetData>
    <row r="1" spans="1:15" x14ac:dyDescent="0.25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</row>
    <row r="2" spans="1:15" x14ac:dyDescent="0.25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K2" t="s">
        <v>13</v>
      </c>
      <c r="L2">
        <v>45000</v>
      </c>
      <c r="M2" s="1" t="s">
        <v>14</v>
      </c>
      <c r="N2" s="1" t="s">
        <v>15</v>
      </c>
      <c r="O2" s="2" t="s">
        <v>16</v>
      </c>
    </row>
    <row r="3" spans="1:15" x14ac:dyDescent="0.25">
      <c r="A3" t="s">
        <v>86</v>
      </c>
      <c r="B3" t="str">
        <f>_xlfn.XLOOKUP("*"&amp;A3,H2:H10,O2:O10,"Not Found",1)</f>
        <v>Angela.Martin@DunderMifflin.com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K3" t="s">
        <v>20</v>
      </c>
      <c r="L3">
        <v>36000</v>
      </c>
      <c r="M3" s="1" t="s">
        <v>21</v>
      </c>
      <c r="N3" s="1" t="s">
        <v>22</v>
      </c>
      <c r="O3" s="2" t="s">
        <v>23</v>
      </c>
    </row>
    <row r="4" spans="1:15" x14ac:dyDescent="0.25">
      <c r="A4" t="s">
        <v>18</v>
      </c>
      <c r="B4" t="str">
        <f>_xlfn.XLOOKUP("*"&amp;A4,H3:H11,O3:O11,"Not Found",2)</f>
        <v>Pam.Beasley@DunderMifflin.com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K4" t="s">
        <v>13</v>
      </c>
      <c r="L4">
        <v>63000</v>
      </c>
      <c r="M4" s="1" t="s">
        <v>26</v>
      </c>
      <c r="N4" s="1" t="s">
        <v>27</v>
      </c>
      <c r="O4" s="2" t="s">
        <v>28</v>
      </c>
    </row>
    <row r="5" spans="1:15" x14ac:dyDescent="0.25">
      <c r="A5" t="s">
        <v>46</v>
      </c>
      <c r="B5" t="str">
        <f>_xlfn.XLOOKUP(A5&amp;"*",H4:H12,O4:O12,"Not Found",2)</f>
        <v>Meredith.Palmer@Yahoo.com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K5" t="s">
        <v>31</v>
      </c>
      <c r="L5">
        <v>47000</v>
      </c>
      <c r="M5" s="1" t="s">
        <v>32</v>
      </c>
      <c r="N5" s="1" t="s">
        <v>33</v>
      </c>
      <c r="O5" s="2" t="s">
        <v>34</v>
      </c>
    </row>
    <row r="6" spans="1:15" x14ac:dyDescent="0.25">
      <c r="A6" t="s">
        <v>87</v>
      </c>
      <c r="B6" t="str">
        <f>_xlfn.XLOOKUP(A6&amp;"*",H5:H13,O5:O13,"Not Found",2)</f>
        <v>Kevin.Malone@DunderMifflin.com</v>
      </c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K6" t="s">
        <v>37</v>
      </c>
      <c r="L6">
        <v>50000</v>
      </c>
      <c r="M6" s="1" t="s">
        <v>38</v>
      </c>
      <c r="N6" s="1" t="s">
        <v>39</v>
      </c>
      <c r="O6" s="2" t="s">
        <v>40</v>
      </c>
    </row>
    <row r="7" spans="1:15" x14ac:dyDescent="0.25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K7" t="s">
        <v>43</v>
      </c>
      <c r="L7">
        <v>65000</v>
      </c>
      <c r="M7" s="1" t="s">
        <v>38</v>
      </c>
      <c r="N7" s="1" t="s">
        <v>44</v>
      </c>
      <c r="O7" s="2" t="s">
        <v>45</v>
      </c>
    </row>
    <row r="8" spans="1:15" x14ac:dyDescent="0.25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K8" t="s">
        <v>48</v>
      </c>
      <c r="L8">
        <v>41000</v>
      </c>
      <c r="M8" s="1" t="s">
        <v>49</v>
      </c>
      <c r="N8" s="1" t="s">
        <v>44</v>
      </c>
      <c r="O8" s="2" t="s">
        <v>50</v>
      </c>
    </row>
    <row r="9" spans="1:15" x14ac:dyDescent="0.25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K9" t="s">
        <v>13</v>
      </c>
      <c r="L9">
        <v>48000</v>
      </c>
      <c r="M9" s="1" t="s">
        <v>53</v>
      </c>
      <c r="N9" s="1" t="s">
        <v>54</v>
      </c>
      <c r="O9" s="2" t="s">
        <v>55</v>
      </c>
    </row>
    <row r="10" spans="1:15" x14ac:dyDescent="0.25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K10" t="s">
        <v>31</v>
      </c>
      <c r="L10">
        <v>42000</v>
      </c>
      <c r="M10" s="1" t="s">
        <v>58</v>
      </c>
      <c r="N10" s="1" t="s">
        <v>54</v>
      </c>
      <c r="O10" s="2" t="s">
        <v>59</v>
      </c>
    </row>
    <row r="22" spans="8:8" x14ac:dyDescent="0.25">
      <c r="H22" t="str">
        <f t="shared" ref="H22:H23" si="0">CONCATENATE(F12," ",G12)</f>
        <v xml:space="preserve"> </v>
      </c>
    </row>
    <row r="23" spans="8:8" x14ac:dyDescent="0.25">
      <c r="H23" t="str">
        <f t="shared" si="0"/>
        <v xml:space="preserve"> 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42832-12A0-41C9-BED0-20D277223524}">
  <dimension ref="A1:P23"/>
  <sheetViews>
    <sheetView zoomScale="130" zoomScaleNormal="130" workbookViewId="0">
      <selection activeCell="B4" sqref="B4"/>
    </sheetView>
  </sheetViews>
  <sheetFormatPr defaultRowHeight="15" x14ac:dyDescent="0.25"/>
  <cols>
    <col min="1" max="1" width="14.7109375" bestFit="1" customWidth="1"/>
    <col min="2" max="2" width="14.7109375" customWidth="1"/>
    <col min="3" max="3" width="24.5703125" customWidth="1"/>
    <col min="9" max="9" width="14.7109375" bestFit="1" customWidth="1"/>
    <col min="12" max="12" width="15.7109375" bestFit="1" customWidth="1"/>
    <col min="16" max="16" width="40.7109375" bestFit="1" customWidth="1"/>
  </cols>
  <sheetData>
    <row r="1" spans="1:16" x14ac:dyDescent="0.25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5">
      <c r="A2" t="s">
        <v>88</v>
      </c>
      <c r="B2" t="s">
        <v>89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5">
      <c r="A3" s="1" t="s">
        <v>90</v>
      </c>
      <c r="B3" t="str">
        <f>_xlfn.XLOOKUP(A3,N2:N10,I2:I10,,1)</f>
        <v>Angela Martin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5">
      <c r="A4" s="1" t="s">
        <v>38</v>
      </c>
      <c r="B4" t="str">
        <f>_xlfn.XLOOKUP(A4,N2:N10,I2:I10,,1,1)</f>
        <v>Toby Flenderson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5"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5"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5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5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5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5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9:9" x14ac:dyDescent="0.25">
      <c r="I22" t="str">
        <f t="shared" ref="I22:I23" si="0">CONCATENATE(G12," ",H12)</f>
        <v xml:space="preserve"> </v>
      </c>
    </row>
    <row r="23" spans="9:9" x14ac:dyDescent="0.25">
      <c r="I23" t="str">
        <f t="shared" si="0"/>
        <v xml:space="preserve"> 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S4"/>
  <sheetViews>
    <sheetView zoomScale="145" zoomScaleNormal="145" workbookViewId="0">
      <selection activeCell="B2" sqref="B2"/>
    </sheetView>
  </sheetViews>
  <sheetFormatPr defaultColWidth="10.140625" defaultRowHeight="15" x14ac:dyDescent="0.25"/>
  <cols>
    <col min="1" max="1" width="13.28515625" bestFit="1" customWidth="1"/>
    <col min="7" max="7" width="12.140625" bestFit="1" customWidth="1"/>
  </cols>
  <sheetData>
    <row r="1" spans="1:19" x14ac:dyDescent="0.25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25">
      <c r="A2" t="s">
        <v>70</v>
      </c>
      <c r="B2">
        <f>_xlfn.XLOOKUP(I1,H1:Q1,H2:Q2)</f>
        <v>310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25">
      <c r="A3" t="s">
        <v>71</v>
      </c>
      <c r="B3">
        <f t="shared" ref="B3:B4" si="0">_xlfn.XLOOKUP(I2,H2:Q2,H3:Q3)</f>
        <v>40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25">
      <c r="A4" t="s">
        <v>84</v>
      </c>
      <c r="B4">
        <f t="shared" si="0"/>
        <v>118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549A4-3A41-4806-B7FD-3B9C6823775F}">
  <dimension ref="A1:S7"/>
  <sheetViews>
    <sheetView zoomScale="130" zoomScaleNormal="130" workbookViewId="0">
      <selection activeCell="B8" sqref="B8"/>
    </sheetView>
  </sheetViews>
  <sheetFormatPr defaultColWidth="10.140625" defaultRowHeight="15" x14ac:dyDescent="0.25"/>
  <cols>
    <col min="1" max="1" width="13.28515625" bestFit="1" customWidth="1"/>
    <col min="7" max="7" width="12.140625" bestFit="1" customWidth="1"/>
  </cols>
  <sheetData>
    <row r="1" spans="1:19" x14ac:dyDescent="0.25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25">
      <c r="A2" t="s">
        <v>70</v>
      </c>
      <c r="B2">
        <f>_xlfn.XLOOKUP(I1,H1:Q1,H2:Q2)</f>
        <v>310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25">
      <c r="A3" t="s">
        <v>71</v>
      </c>
      <c r="B3">
        <f t="shared" ref="B3:B4" si="0">_xlfn.XLOOKUP(I2,H2:Q2,H3:Q3)</f>
        <v>40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25">
      <c r="A4" t="s">
        <v>84</v>
      </c>
      <c r="B4">
        <f t="shared" si="0"/>
        <v>118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  <row r="6" spans="1:19" x14ac:dyDescent="0.25">
      <c r="B6" t="s">
        <v>85</v>
      </c>
    </row>
    <row r="7" spans="1:19" x14ac:dyDescent="0.25">
      <c r="A7" t="s">
        <v>70</v>
      </c>
      <c r="B7">
        <f>SUM(_xlfn.XLOOKUP(I1,H1:S1,H2:S2):_xlfn.XLOOKUP(J1,H1:S1,H2:S2))</f>
        <v>460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9C169-12D8-441E-870D-6C6EF0F6521C}">
  <dimension ref="A1:P10"/>
  <sheetViews>
    <sheetView tabSelected="1" zoomScale="130" zoomScaleNormal="130" workbookViewId="0">
      <selection activeCell="B3" sqref="B3:B5"/>
    </sheetView>
  </sheetViews>
  <sheetFormatPr defaultRowHeight="15" x14ac:dyDescent="0.25"/>
  <cols>
    <col min="1" max="1" width="14.42578125" customWidth="1"/>
    <col min="2" max="2" width="32.42578125" bestFit="1" customWidth="1"/>
  </cols>
  <sheetData>
    <row r="1" spans="1:16" x14ac:dyDescent="0.25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91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5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5">
      <c r="A3" t="s">
        <v>63</v>
      </c>
      <c r="B3" t="str">
        <f>VLOOKUP(A3,H1:P10,9,FALSE)</f>
        <v>Dwight.Schrute@AOL.com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5">
      <c r="A4" t="s">
        <v>66</v>
      </c>
      <c r="B4" t="str">
        <f t="shared" ref="B4:B5" si="0">VLOOKUP(A4,H2:P11,9,FALSE)</f>
        <v>Michael.Scott@DunderMifflin.com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5">
      <c r="A5" t="s">
        <v>68</v>
      </c>
      <c r="B5" t="str">
        <f t="shared" si="0"/>
        <v>Stanley.Hudson@gmail.com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5"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5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5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5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5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XLookUp</vt:lpstr>
      <vt:lpstr>XLookUp Multiple Rows</vt:lpstr>
      <vt:lpstr>XLookUp Exact Match</vt:lpstr>
      <vt:lpstr>XLookUp Search Order</vt:lpstr>
      <vt:lpstr>XLookUp Horizontal</vt:lpstr>
      <vt:lpstr>XLookUp w SUM</vt:lpstr>
      <vt:lpstr>VLookUp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jay gelani</cp:lastModifiedBy>
  <dcterms:created xsi:type="dcterms:W3CDTF">2021-12-20T02:45:32Z</dcterms:created>
  <dcterms:modified xsi:type="dcterms:W3CDTF">2026-06-10T09:22:36Z</dcterms:modified>
</cp:coreProperties>
</file>