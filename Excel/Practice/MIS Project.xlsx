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ata Analyst\Excel\Practice\"/>
    </mc:Choice>
  </mc:AlternateContent>
  <xr:revisionPtr revIDLastSave="0" documentId="13_ncr:1_{AACEC845-B1A0-4D71-8A3B-12E5D965413E}" xr6:coauthVersionLast="47" xr6:coauthVersionMax="47" xr10:uidLastSave="{00000000-0000-0000-0000-000000000000}"/>
  <bookViews>
    <workbookView xWindow="-120" yWindow="-120" windowWidth="29040" windowHeight="15720" activeTab="4" xr2:uid="{00000000-000D-0000-FFFF-FFFF00000000}"/>
  </bookViews>
  <sheets>
    <sheet name="Orders" sheetId="1" r:id="rId1"/>
    <sheet name="Data" sheetId="3" r:id="rId2"/>
    <sheet name="Pivot Table" sheetId="4" r:id="rId3"/>
    <sheet name="Dashboard" sheetId="5" r:id="rId4"/>
    <sheet name="Sheet1" sheetId="6" r:id="rId5"/>
  </sheets>
  <definedNames>
    <definedName name="_xlnm._FilterDatabase" localSheetId="0" hidden="1">Orders!$A$1:$M$1</definedName>
    <definedName name="Slicer_Branch">#N/A</definedName>
    <definedName name="Slicer_PaymentMode">#N/A</definedName>
    <definedName name="Slicer_Produc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3" l="1"/>
  <c r="O5" i="1"/>
  <c r="N2" i="1"/>
  <c r="O3" i="1"/>
  <c r="O4"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c r="K129" i="1" a="1"/>
  <c r="K129" i="1" s="1"/>
  <c r="K130" i="1" a="1"/>
  <c r="K130" i="1" s="1"/>
  <c r="K131" i="1" a="1"/>
  <c r="K131" i="1" s="1"/>
  <c r="K132" i="1" a="1"/>
  <c r="K132" i="1" s="1"/>
  <c r="K133" i="1" a="1"/>
  <c r="K133" i="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445" i="1" a="1"/>
  <c r="K445" i="1" s="1"/>
  <c r="K446" i="1" a="1"/>
  <c r="K446" i="1" s="1"/>
  <c r="K447" i="1" a="1"/>
  <c r="K447" i="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c r="K472" i="1" a="1"/>
  <c r="K472" i="1" s="1"/>
  <c r="K473" i="1" a="1"/>
  <c r="K473" i="1" s="1"/>
  <c r="K474" i="1" a="1"/>
  <c r="K474" i="1" s="1"/>
  <c r="K475" i="1" a="1"/>
  <c r="K475" i="1" s="1"/>
  <c r="K476" i="1" a="1"/>
  <c r="K476" i="1" s="1"/>
  <c r="K477" i="1" a="1"/>
  <c r="K477" i="1" s="1"/>
  <c r="K478" i="1" a="1"/>
  <c r="K478" i="1" s="1"/>
  <c r="K479" i="1" a="1"/>
  <c r="K479" i="1" s="1"/>
  <c r="K480" i="1" a="1"/>
  <c r="K480" i="1" s="1"/>
  <c r="K481" i="1" a="1"/>
  <c r="K481" i="1" s="1"/>
  <c r="K482" i="1" a="1"/>
  <c r="K482" i="1" s="1"/>
  <c r="K483" i="1" a="1"/>
  <c r="K483" i="1" s="1"/>
  <c r="K484" i="1" a="1"/>
  <c r="K484" i="1" s="1"/>
  <c r="K485" i="1" a="1"/>
  <c r="K485" i="1" s="1"/>
  <c r="K486" i="1" a="1"/>
  <c r="K486" i="1" s="1"/>
  <c r="K487" i="1" a="1"/>
  <c r="K487" i="1" s="1"/>
  <c r="K488" i="1" a="1"/>
  <c r="K488" i="1" s="1"/>
  <c r="K489" i="1" a="1"/>
  <c r="K489" i="1" s="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s="1"/>
  <c r="K501" i="1" a="1"/>
  <c r="K501" i="1" s="1"/>
  <c r="K2" i="1" a="1"/>
  <c r="K2" i="1" s="1"/>
  <c r="F2" i="3"/>
  <c r="G2" i="3"/>
  <c r="H2" i="3"/>
  <c r="E5" i="3"/>
  <c r="F5" i="3"/>
  <c r="G5"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<sst xmlns="http://schemas.openxmlformats.org/spreadsheetml/2006/main" count="3585" uniqueCount="569">
  <si>
    <t>OrderID</t>
  </si>
  <si>
    <t>OrderDate</t>
  </si>
  <si>
    <t>Branch</t>
  </si>
  <si>
    <t>Employee</t>
  </si>
  <si>
    <t>Customer</t>
  </si>
  <si>
    <t>Product</t>
  </si>
  <si>
    <t>Category</t>
  </si>
  <si>
    <t>Quantity</t>
  </si>
  <si>
    <t>UnitPrice</t>
  </si>
  <si>
    <t>SalesAmount</t>
  </si>
  <si>
    <t>PaymentMode</t>
  </si>
  <si>
    <t>OrderStatus</t>
  </si>
  <si>
    <t>Rajkot</t>
  </si>
  <si>
    <t>EMP005</t>
  </si>
  <si>
    <t>CUST8013</t>
  </si>
  <si>
    <t>Laptop</t>
  </si>
  <si>
    <t>Electronics</t>
  </si>
  <si>
    <t>Card</t>
  </si>
  <si>
    <t>Cancelled</t>
  </si>
  <si>
    <t>Surat</t>
  </si>
  <si>
    <t>EMP001</t>
  </si>
  <si>
    <t>CUST5514</t>
  </si>
  <si>
    <t>Keyboard</t>
  </si>
  <si>
    <t>Cash</t>
  </si>
  <si>
    <t>Completed</t>
  </si>
  <si>
    <t>Mumbai</t>
  </si>
  <si>
    <t>EMP009</t>
  </si>
  <si>
    <t>CUST1459</t>
  </si>
  <si>
    <t>Chair</t>
  </si>
  <si>
    <t>Furniture</t>
  </si>
  <si>
    <t>EMP012</t>
  </si>
  <si>
    <t>CUST2819</t>
  </si>
  <si>
    <t>Desk</t>
  </si>
  <si>
    <t>Net Banking</t>
  </si>
  <si>
    <t>Vadodara</t>
  </si>
  <si>
    <t>CUST9295</t>
  </si>
  <si>
    <t>EMP002</t>
  </si>
  <si>
    <t>CUST2040</t>
  </si>
  <si>
    <t>EMP010</t>
  </si>
  <si>
    <t>CUST3973</t>
  </si>
  <si>
    <t>Mouse</t>
  </si>
  <si>
    <t>EMP008</t>
  </si>
  <si>
    <t>CUST1773</t>
  </si>
  <si>
    <t>UPI</t>
  </si>
  <si>
    <t>EMP011</t>
  </si>
  <si>
    <t>CUST9540</t>
  </si>
  <si>
    <t>CUST8280</t>
  </si>
  <si>
    <t>Printer</t>
  </si>
  <si>
    <t>Ahmedabad</t>
  </si>
  <si>
    <t>EMP014</t>
  </si>
  <si>
    <t>CUST3782</t>
  </si>
  <si>
    <t>CUST5373</t>
  </si>
  <si>
    <t>EMP015</t>
  </si>
  <si>
    <t>CUST7357</t>
  </si>
  <si>
    <t>Pending</t>
  </si>
  <si>
    <t>EMP019</t>
  </si>
  <si>
    <t>CUST2469</t>
  </si>
  <si>
    <t>CUST8246</t>
  </si>
  <si>
    <t>CUST7889</t>
  </si>
  <si>
    <t>EMP017</t>
  </si>
  <si>
    <t>CUST7317</t>
  </si>
  <si>
    <t>CUST7178</t>
  </si>
  <si>
    <t>CUST9231</t>
  </si>
  <si>
    <t>CUST1759</t>
  </si>
  <si>
    <t>EMP003</t>
  </si>
  <si>
    <t>CUST7261</t>
  </si>
  <si>
    <t>EMP007</t>
  </si>
  <si>
    <t>CUST7476</t>
  </si>
  <si>
    <t>CUST2251</t>
  </si>
  <si>
    <t>CUST2140</t>
  </si>
  <si>
    <t>CUST5515</t>
  </si>
  <si>
    <t>EMP013</t>
  </si>
  <si>
    <t>CUST5460</t>
  </si>
  <si>
    <t>EMP018</t>
  </si>
  <si>
    <t>CUST5073</t>
  </si>
  <si>
    <t>CUST4638</t>
  </si>
  <si>
    <t>CUST4365</t>
  </si>
  <si>
    <t>CUST9402</t>
  </si>
  <si>
    <t>CUST1611</t>
  </si>
  <si>
    <t>CUST4399</t>
  </si>
  <si>
    <t>CUST4156</t>
  </si>
  <si>
    <t>CUST6990</t>
  </si>
  <si>
    <t>CUST6333</t>
  </si>
  <si>
    <t>CUST3321</t>
  </si>
  <si>
    <t>CUST5158</t>
  </si>
  <si>
    <t>EMP020</t>
  </si>
  <si>
    <t>CUST7765</t>
  </si>
  <si>
    <t>CUST5709</t>
  </si>
  <si>
    <t>CUST6980</t>
  </si>
  <si>
    <t>CUST6989</t>
  </si>
  <si>
    <t>CUST3698</t>
  </si>
  <si>
    <t>CUST3909</t>
  </si>
  <si>
    <t>EMP016</t>
  </si>
  <si>
    <t>CUST6792</t>
  </si>
  <si>
    <t>CUST1511</t>
  </si>
  <si>
    <t>CUST7095</t>
  </si>
  <si>
    <t>CUST1770</t>
  </si>
  <si>
    <t>EMP006</t>
  </si>
  <si>
    <t>CUST9884</t>
  </si>
  <si>
    <t>CUST4139</t>
  </si>
  <si>
    <t>CUST8077</t>
  </si>
  <si>
    <t>CUST4133</t>
  </si>
  <si>
    <t>CUST3309</t>
  </si>
  <si>
    <t>CUST6090</t>
  </si>
  <si>
    <t>CUST4276</t>
  </si>
  <si>
    <t>CUST6508</t>
  </si>
  <si>
    <t>CUST6499</t>
  </si>
  <si>
    <t>CUST3240</t>
  </si>
  <si>
    <t>CUST6885</t>
  </si>
  <si>
    <t>CUST7957</t>
  </si>
  <si>
    <t>CUST6370</t>
  </si>
  <si>
    <t>CUST4015</t>
  </si>
  <si>
    <t>CUST8763</t>
  </si>
  <si>
    <t>CUST3375</t>
  </si>
  <si>
    <t>CUST4580</t>
  </si>
  <si>
    <t>CUST4739</t>
  </si>
  <si>
    <t>CUST2543</t>
  </si>
  <si>
    <t>CUST7470</t>
  </si>
  <si>
    <t>CUST1436</t>
  </si>
  <si>
    <t>CUST3806</t>
  </si>
  <si>
    <t>CUST6589</t>
  </si>
  <si>
    <t>EMP004</t>
  </si>
  <si>
    <t>CUST1744</t>
  </si>
  <si>
    <t>CUST1306</t>
  </si>
  <si>
    <t>CUST4717</t>
  </si>
  <si>
    <t>CUST8707</t>
  </si>
  <si>
    <t>CUST9649</t>
  </si>
  <si>
    <t>CUST9473</t>
  </si>
  <si>
    <t>CUST7400</t>
  </si>
  <si>
    <t>CUST3232</t>
  </si>
  <si>
    <t>CUST5879</t>
  </si>
  <si>
    <t>CUST3319</t>
  </si>
  <si>
    <t>CUST8255</t>
  </si>
  <si>
    <t>CUST9706</t>
  </si>
  <si>
    <t>CUST8194</t>
  </si>
  <si>
    <t>CUST6941</t>
  </si>
  <si>
    <t>CUST8195</t>
  </si>
  <si>
    <t>CUST8206</t>
  </si>
  <si>
    <t>CUST1120</t>
  </si>
  <si>
    <t>CUST4189</t>
  </si>
  <si>
    <t>CUST2162</t>
  </si>
  <si>
    <t>CUST9993</t>
  </si>
  <si>
    <t>CUST1595</t>
  </si>
  <si>
    <t>CUST6452</t>
  </si>
  <si>
    <t>CUST1622</t>
  </si>
  <si>
    <t>CUST9935</t>
  </si>
  <si>
    <t>CUST3483</t>
  </si>
  <si>
    <t>CUST8809</t>
  </si>
  <si>
    <t>CUST2902</t>
  </si>
  <si>
    <t>CUST4530</t>
  </si>
  <si>
    <t>CUST4285</t>
  </si>
  <si>
    <t>CUST3652</t>
  </si>
  <si>
    <t>CUST1302</t>
  </si>
  <si>
    <t>CUST9932</t>
  </si>
  <si>
    <t>CUST1096</t>
  </si>
  <si>
    <t>CUST2312</t>
  </si>
  <si>
    <t>CUST7557</t>
  </si>
  <si>
    <t>CUST7356</t>
  </si>
  <si>
    <t>CUST4179</t>
  </si>
  <si>
    <t>CUST6456</t>
  </si>
  <si>
    <t>CUST1338</t>
  </si>
  <si>
    <t>CUST7891</t>
  </si>
  <si>
    <t>CUST8793</t>
  </si>
  <si>
    <t>CUST5139</t>
  </si>
  <si>
    <t>CUST5555</t>
  </si>
  <si>
    <t>CUST1610</t>
  </si>
  <si>
    <t>CUST2370</t>
  </si>
  <si>
    <t>CUST5184</t>
  </si>
  <si>
    <t>CUST3059</t>
  </si>
  <si>
    <t>CUST5516</t>
  </si>
  <si>
    <t>CUST2470</t>
  </si>
  <si>
    <t>CUST5188</t>
  </si>
  <si>
    <t>CUST9035</t>
  </si>
  <si>
    <t>CUST7270</t>
  </si>
  <si>
    <t>CUST6924</t>
  </si>
  <si>
    <t>CUST3065</t>
  </si>
  <si>
    <t>CUST3790</t>
  </si>
  <si>
    <t>CUST1880</t>
  </si>
  <si>
    <t>CUST9304</t>
  </si>
  <si>
    <t>CUST9511</t>
  </si>
  <si>
    <t>CUST4095</t>
  </si>
  <si>
    <t>CUST8989</t>
  </si>
  <si>
    <t>CUST3645</t>
  </si>
  <si>
    <t>CUST4324</t>
  </si>
  <si>
    <t>CUST9092</t>
  </si>
  <si>
    <t>CUST6283</t>
  </si>
  <si>
    <t>CUST3410</t>
  </si>
  <si>
    <t>CUST1577</t>
  </si>
  <si>
    <t>CUST8090</t>
  </si>
  <si>
    <t>CUST5143</t>
  </si>
  <si>
    <t>CUST7768</t>
  </si>
  <si>
    <t>CUST2396</t>
  </si>
  <si>
    <t>CUST6519</t>
  </si>
  <si>
    <t>CUST1727</t>
  </si>
  <si>
    <t>CUST5663</t>
  </si>
  <si>
    <t>CUST1199</t>
  </si>
  <si>
    <t>CUST8010</t>
  </si>
  <si>
    <t>CUST8045</t>
  </si>
  <si>
    <t>CUST7468</t>
  </si>
  <si>
    <t>CUST2845</t>
  </si>
  <si>
    <t>CUST2718</t>
  </si>
  <si>
    <t>CUST4152</t>
  </si>
  <si>
    <t>CUST9005</t>
  </si>
  <si>
    <t>CUST3041</t>
  </si>
  <si>
    <t>CUST5539</t>
  </si>
  <si>
    <t>CUST8923</t>
  </si>
  <si>
    <t>CUST8038</t>
  </si>
  <si>
    <t>CUST1013</t>
  </si>
  <si>
    <t>CUST3858</t>
  </si>
  <si>
    <t>CUST9033</t>
  </si>
  <si>
    <t>CUST5897</t>
  </si>
  <si>
    <t>CUST1137</t>
  </si>
  <si>
    <t>CUST2176</t>
  </si>
  <si>
    <t>CUST1457</t>
  </si>
  <si>
    <t>CUST1128</t>
  </si>
  <si>
    <t>CUST1156</t>
  </si>
  <si>
    <t>CUST2345</t>
  </si>
  <si>
    <t>CUST2062</t>
  </si>
  <si>
    <t>CUST5721</t>
  </si>
  <si>
    <t>CUST7137</t>
  </si>
  <si>
    <t>CUST4861</t>
  </si>
  <si>
    <t>CUST7520</t>
  </si>
  <si>
    <t>CUST1506</t>
  </si>
  <si>
    <t>CUST2267</t>
  </si>
  <si>
    <t>CUST3606</t>
  </si>
  <si>
    <t>CUST2981</t>
  </si>
  <si>
    <t>CUST4483</t>
  </si>
  <si>
    <t>CUST7401</t>
  </si>
  <si>
    <t>CUST6153</t>
  </si>
  <si>
    <t>CUST8261</t>
  </si>
  <si>
    <t>CUST4193</t>
  </si>
  <si>
    <t>CUST8160</t>
  </si>
  <si>
    <t>CUST2894</t>
  </si>
  <si>
    <t>CUST5494</t>
  </si>
  <si>
    <t>CUST9157</t>
  </si>
  <si>
    <t>CUST1790</t>
  </si>
  <si>
    <t>CUST3802</t>
  </si>
  <si>
    <t>CUST1000</t>
  </si>
  <si>
    <t>CUST5778</t>
  </si>
  <si>
    <t>CUST9087</t>
  </si>
  <si>
    <t>CUST6929</t>
  </si>
  <si>
    <t>CUST9850</t>
  </si>
  <si>
    <t>CUST1629</t>
  </si>
  <si>
    <t>CUST6593</t>
  </si>
  <si>
    <t>CUST7296</t>
  </si>
  <si>
    <t>CUST6014</t>
  </si>
  <si>
    <t>CUST2956</t>
  </si>
  <si>
    <t>CUST7084</t>
  </si>
  <si>
    <t>CUST1910</t>
  </si>
  <si>
    <t>CUST9802</t>
  </si>
  <si>
    <t>CUST6823</t>
  </si>
  <si>
    <t>CUST9800</t>
  </si>
  <si>
    <t>CUST1735</t>
  </si>
  <si>
    <t>CUST4885</t>
  </si>
  <si>
    <t>CUST5526</t>
  </si>
  <si>
    <t>CUST4917</t>
  </si>
  <si>
    <t>CUST7817</t>
  </si>
  <si>
    <t>CUST1143</t>
  </si>
  <si>
    <t>CUST2099</t>
  </si>
  <si>
    <t>CUST6596</t>
  </si>
  <si>
    <t>CUST2946</t>
  </si>
  <si>
    <t>CUST1625</t>
  </si>
  <si>
    <t>CUST9572</t>
  </si>
  <si>
    <t>CUST9386</t>
  </si>
  <si>
    <t>CUST7878</t>
  </si>
  <si>
    <t>CUST1467</t>
  </si>
  <si>
    <t>CUST9376</t>
  </si>
  <si>
    <t>CUST5150</t>
  </si>
  <si>
    <t>CUST6745</t>
  </si>
  <si>
    <t>CUST9598</t>
  </si>
  <si>
    <t>CUST1229</t>
  </si>
  <si>
    <t>CUST5479</t>
  </si>
  <si>
    <t>CUST5224</t>
  </si>
  <si>
    <t>CUST3647</t>
  </si>
  <si>
    <t>CUST8704</t>
  </si>
  <si>
    <t>CUST8202</t>
  </si>
  <si>
    <t>CUST3734</t>
  </si>
  <si>
    <t>CUST3016</t>
  </si>
  <si>
    <t>CUST8342</t>
  </si>
  <si>
    <t>CUST2036</t>
  </si>
  <si>
    <t>CUST3794</t>
  </si>
  <si>
    <t>CUST4990</t>
  </si>
  <si>
    <t>CUST9954</t>
  </si>
  <si>
    <t>CUST2400</t>
  </si>
  <si>
    <t>CUST2694</t>
  </si>
  <si>
    <t>CUST1541</t>
  </si>
  <si>
    <t>CUST9242</t>
  </si>
  <si>
    <t>CUST8356</t>
  </si>
  <si>
    <t>CUST3853</t>
  </si>
  <si>
    <t>CUST3155</t>
  </si>
  <si>
    <t>CUST1049</t>
  </si>
  <si>
    <t>CUST5279</t>
  </si>
  <si>
    <t>CUST5189</t>
  </si>
  <si>
    <t>CUST1666</t>
  </si>
  <si>
    <t>CUST2192</t>
  </si>
  <si>
    <t>CUST4004</t>
  </si>
  <si>
    <t>CUST4630</t>
  </si>
  <si>
    <t>CUST9274</t>
  </si>
  <si>
    <t>CUST5299</t>
  </si>
  <si>
    <t>CUST2214</t>
  </si>
  <si>
    <t>CUST1150</t>
  </si>
  <si>
    <t>CUST4744</t>
  </si>
  <si>
    <t>CUST5918</t>
  </si>
  <si>
    <t>CUST4934</t>
  </si>
  <si>
    <t>CUST8548</t>
  </si>
  <si>
    <t>CUST1781</t>
  </si>
  <si>
    <t>CUST9525</t>
  </si>
  <si>
    <t>CUST7010</t>
  </si>
  <si>
    <t>CUST5138</t>
  </si>
  <si>
    <t>CUST3078</t>
  </si>
  <si>
    <t>CUST5261</t>
  </si>
  <si>
    <t>CUST1535</t>
  </si>
  <si>
    <t>CUST1686</t>
  </si>
  <si>
    <t>CUST4066</t>
  </si>
  <si>
    <t>CUST6529</t>
  </si>
  <si>
    <t>CUST7697</t>
  </si>
  <si>
    <t>CUST6736</t>
  </si>
  <si>
    <t>CUST7464</t>
  </si>
  <si>
    <t>CUST2138</t>
  </si>
  <si>
    <t>CUST9940</t>
  </si>
  <si>
    <t>CUST3088</t>
  </si>
  <si>
    <t>CUST7173</t>
  </si>
  <si>
    <t>CUST8800</t>
  </si>
  <si>
    <t>CUST3192</t>
  </si>
  <si>
    <t>CUST6251</t>
  </si>
  <si>
    <t>CUST4663</t>
  </si>
  <si>
    <t>CUST7740</t>
  </si>
  <si>
    <t>CUST1200</t>
  </si>
  <si>
    <t>CUST6646</t>
  </si>
  <si>
    <t>CUST1138</t>
  </si>
  <si>
    <t>CUST7442</t>
  </si>
  <si>
    <t>CUST1486</t>
  </si>
  <si>
    <t>CUST8602</t>
  </si>
  <si>
    <t>CUST1872</t>
  </si>
  <si>
    <t>CUST2554</t>
  </si>
  <si>
    <t>CUST2038</t>
  </si>
  <si>
    <t>CUST9444</t>
  </si>
  <si>
    <t>CUST2632</t>
  </si>
  <si>
    <t>CUST1089</t>
  </si>
  <si>
    <t>CUST9654</t>
  </si>
  <si>
    <t>CUST7128</t>
  </si>
  <si>
    <t>CUST6368</t>
  </si>
  <si>
    <t>CUST5960</t>
  </si>
  <si>
    <t>CUST2958</t>
  </si>
  <si>
    <t>CUST2852</t>
  </si>
  <si>
    <t>CUST8153</t>
  </si>
  <si>
    <t>CUST3507</t>
  </si>
  <si>
    <t>CUST3411</t>
  </si>
  <si>
    <t>CUST6403</t>
  </si>
  <si>
    <t>CUST9215</t>
  </si>
  <si>
    <t>CUST8205</t>
  </si>
  <si>
    <t>CUST9732</t>
  </si>
  <si>
    <t>CUST8744</t>
  </si>
  <si>
    <t>CUST7638</t>
  </si>
  <si>
    <t>CUST5131</t>
  </si>
  <si>
    <t>CUST6554</t>
  </si>
  <si>
    <t>CUST8578</t>
  </si>
  <si>
    <t>CUST3560</t>
  </si>
  <si>
    <t>CUST6498</t>
  </si>
  <si>
    <t>CUST9462</t>
  </si>
  <si>
    <t>CUST5155</t>
  </si>
  <si>
    <t>CUST7374</t>
  </si>
  <si>
    <t>CUST7391</t>
  </si>
  <si>
    <t>CUST5230</t>
  </si>
  <si>
    <t>CUST6628</t>
  </si>
  <si>
    <t>CUST9111</t>
  </si>
  <si>
    <t>CUST7166</t>
  </si>
  <si>
    <t>CUST3057</t>
  </si>
  <si>
    <t>CUST5205</t>
  </si>
  <si>
    <t>CUST4618</t>
  </si>
  <si>
    <t>CUST2269</t>
  </si>
  <si>
    <t>CUST7232</t>
  </si>
  <si>
    <t>CUST3557</t>
  </si>
  <si>
    <t>CUST3408</t>
  </si>
  <si>
    <t>CUST4831</t>
  </si>
  <si>
    <t>CUST2582</t>
  </si>
  <si>
    <t>CUST2472</t>
  </si>
  <si>
    <t>CUST9944</t>
  </si>
  <si>
    <t>CUST4790</t>
  </si>
  <si>
    <t>CUST8616</t>
  </si>
  <si>
    <t>CUST8752</t>
  </si>
  <si>
    <t>CUST1897</t>
  </si>
  <si>
    <t>CUST4335</t>
  </si>
  <si>
    <t>CUST4640</t>
  </si>
  <si>
    <t>CUST9597</t>
  </si>
  <si>
    <t>CUST7673</t>
  </si>
  <si>
    <t>CUST5680</t>
  </si>
  <si>
    <t>CUST5077</t>
  </si>
  <si>
    <t>CUST7838</t>
  </si>
  <si>
    <t>CUST4637</t>
  </si>
  <si>
    <t>CUST1158</t>
  </si>
  <si>
    <t>CUST1290</t>
  </si>
  <si>
    <t>CUST1694</t>
  </si>
  <si>
    <t>CUST3158</t>
  </si>
  <si>
    <t>CUST3263</t>
  </si>
  <si>
    <t>CUST6219</t>
  </si>
  <si>
    <t>CUST6606</t>
  </si>
  <si>
    <t>CUST6066</t>
  </si>
  <si>
    <t>CUST3938</t>
  </si>
  <si>
    <t>CUST4144</t>
  </si>
  <si>
    <t>CUST6467</t>
  </si>
  <si>
    <t>CUST2549</t>
  </si>
  <si>
    <t>CUST3399</t>
  </si>
  <si>
    <t>CUST8685</t>
  </si>
  <si>
    <t>CUST9508</t>
  </si>
  <si>
    <t>CUST9114</t>
  </si>
  <si>
    <t>CUST1854</t>
  </si>
  <si>
    <t>CUST1098</t>
  </si>
  <si>
    <t>CUST7678</t>
  </si>
  <si>
    <t>CUST9227</t>
  </si>
  <si>
    <t>CUST7062</t>
  </si>
  <si>
    <t>CUST5367</t>
  </si>
  <si>
    <t>CUST6487</t>
  </si>
  <si>
    <t>CUST3480</t>
  </si>
  <si>
    <t>CUST3594</t>
  </si>
  <si>
    <t>CUST1856</t>
  </si>
  <si>
    <t>CUST4294</t>
  </si>
  <si>
    <t>CUST7381</t>
  </si>
  <si>
    <t>CUST8081</t>
  </si>
  <si>
    <t>CUST9004</t>
  </si>
  <si>
    <t>CUST4967</t>
  </si>
  <si>
    <t>CUST1885</t>
  </si>
  <si>
    <t>CUST1352</t>
  </si>
  <si>
    <t>CUST9693</t>
  </si>
  <si>
    <t>CUST3502</t>
  </si>
  <si>
    <t>CUST5519</t>
  </si>
  <si>
    <t>CUST3993</t>
  </si>
  <si>
    <t>CUST4058</t>
  </si>
  <si>
    <t>CUST1300</t>
  </si>
  <si>
    <t>CUST8312</t>
  </si>
  <si>
    <t>CUST6143</t>
  </si>
  <si>
    <t>CUST9169</t>
  </si>
  <si>
    <t>CUST5154</t>
  </si>
  <si>
    <t>CUST3049</t>
  </si>
  <si>
    <t>CUST4685</t>
  </si>
  <si>
    <t>CUST5473</t>
  </si>
  <si>
    <t>CUST7169</t>
  </si>
  <si>
    <t>CUST8541</t>
  </si>
  <si>
    <t>CUST9814</t>
  </si>
  <si>
    <t>CUST8311</t>
  </si>
  <si>
    <t>CUST7794</t>
  </si>
  <si>
    <t>CUST6997</t>
  </si>
  <si>
    <t>CUST7675</t>
  </si>
  <si>
    <t>CUST6457</t>
  </si>
  <si>
    <t>CUST7477</t>
  </si>
  <si>
    <t>CUST5273</t>
  </si>
  <si>
    <t>CUST2128</t>
  </si>
  <si>
    <t>CUST2462</t>
  </si>
  <si>
    <t>CUST7136</t>
  </si>
  <si>
    <t>CUST9862</t>
  </si>
  <si>
    <t>CUST9992</t>
  </si>
  <si>
    <t>CUST1756</t>
  </si>
  <si>
    <t>CUST2716</t>
  </si>
  <si>
    <t>CUST7857</t>
  </si>
  <si>
    <t>CUST6318</t>
  </si>
  <si>
    <t>CUST3037</t>
  </si>
  <si>
    <t>CUST8887</t>
  </si>
  <si>
    <t>CUST2944</t>
  </si>
  <si>
    <t>CUST8715</t>
  </si>
  <si>
    <t>CUST2221</t>
  </si>
  <si>
    <t>CUST6793</t>
  </si>
  <si>
    <t>CUST4286</t>
  </si>
  <si>
    <t>CUST5088</t>
  </si>
  <si>
    <t>CUST5153</t>
  </si>
  <si>
    <t>CUST2078</t>
  </si>
  <si>
    <t>CUST7995</t>
  </si>
  <si>
    <t>CUST5089</t>
  </si>
  <si>
    <t>CUST3850</t>
  </si>
  <si>
    <t>CUST8411</t>
  </si>
  <si>
    <t>CUST8046</t>
  </si>
  <si>
    <t>CUST1030</t>
  </si>
  <si>
    <t>CUST8069</t>
  </si>
  <si>
    <t>CUST1468</t>
  </si>
  <si>
    <t>CUST5986</t>
  </si>
  <si>
    <t>CUST7002</t>
  </si>
  <si>
    <t>CUST1992</t>
  </si>
  <si>
    <t>CUST8517</t>
  </si>
  <si>
    <t>CUST6592</t>
  </si>
  <si>
    <t>CUST4121</t>
  </si>
  <si>
    <t>CUST2124</t>
  </si>
  <si>
    <t>CUST7518</t>
  </si>
  <si>
    <t>CUST7235</t>
  </si>
  <si>
    <t>CUST1513</t>
  </si>
  <si>
    <t>CUST2209</t>
  </si>
  <si>
    <t>CUST8961</t>
  </si>
  <si>
    <t>CUST4329</t>
  </si>
  <si>
    <t>CUST7119</t>
  </si>
  <si>
    <t>CUST2120</t>
  </si>
  <si>
    <t>CUST9590</t>
  </si>
  <si>
    <t>CUST8654</t>
  </si>
  <si>
    <t>CUST4519</t>
  </si>
  <si>
    <t>CUST5859</t>
  </si>
  <si>
    <t>CUST8790</t>
  </si>
  <si>
    <t>CUST4848</t>
  </si>
  <si>
    <t>CUST8931</t>
  </si>
  <si>
    <t>CUST1953</t>
  </si>
  <si>
    <t>CUST1543</t>
  </si>
  <si>
    <t>CUST8861</t>
  </si>
  <si>
    <t>CUST6354</t>
  </si>
  <si>
    <t>CUST6497</t>
  </si>
  <si>
    <t>CUST7336</t>
  </si>
  <si>
    <t>CUST6503</t>
  </si>
  <si>
    <t>CUST5408</t>
  </si>
  <si>
    <t>CUST1299</t>
  </si>
  <si>
    <t>CUST9648</t>
  </si>
  <si>
    <t>CUST5672</t>
  </si>
  <si>
    <t>CUST8292</t>
  </si>
  <si>
    <t>CUST1091</t>
  </si>
  <si>
    <t>CUST4503</t>
  </si>
  <si>
    <t>CUST1943</t>
  </si>
  <si>
    <t>CUST4783</t>
  </si>
  <si>
    <t>CUST6603</t>
  </si>
  <si>
    <t>CUST4615</t>
  </si>
  <si>
    <t>CUST8890</t>
  </si>
  <si>
    <t>CUST2771</t>
  </si>
  <si>
    <t>CUST1932</t>
  </si>
  <si>
    <t>CUST4553</t>
  </si>
  <si>
    <t>CUST7937</t>
  </si>
  <si>
    <t>CUST4750</t>
  </si>
  <si>
    <t>CUST6805</t>
  </si>
  <si>
    <t>CUST4785</t>
  </si>
  <si>
    <t>CUST9401</t>
  </si>
  <si>
    <t>CUST6489</t>
  </si>
  <si>
    <t>CUST7426</t>
  </si>
  <si>
    <t>CUST8329</t>
  </si>
  <si>
    <t>CUST9313</t>
  </si>
  <si>
    <t>CUST6113</t>
  </si>
  <si>
    <t>CUST4535</t>
  </si>
  <si>
    <t>CUST2057</t>
  </si>
  <si>
    <t>CUST4711</t>
  </si>
  <si>
    <t>CUST4527</t>
  </si>
  <si>
    <t>CUST5722</t>
  </si>
  <si>
    <t>CUST2754</t>
  </si>
  <si>
    <t>CUST9140</t>
  </si>
  <si>
    <t>CUST2350</t>
  </si>
  <si>
    <t>CUST2083</t>
  </si>
  <si>
    <t>CUST6737</t>
  </si>
  <si>
    <t>Sales</t>
  </si>
  <si>
    <t>Total</t>
  </si>
  <si>
    <t>Total Orders</t>
  </si>
  <si>
    <t>Total Sales (Completed)</t>
  </si>
  <si>
    <t>Total Sales (All)</t>
  </si>
  <si>
    <t>Avg Order Value</t>
  </si>
  <si>
    <t>Completed orders</t>
  </si>
  <si>
    <t>Total Order Items</t>
  </si>
  <si>
    <t>Success rate</t>
  </si>
  <si>
    <t>Orders</t>
  </si>
  <si>
    <t>Payment methods</t>
  </si>
  <si>
    <t>Sale Value</t>
  </si>
  <si>
    <t>Month</t>
  </si>
  <si>
    <t>Year</t>
  </si>
  <si>
    <t>Quarter</t>
  </si>
  <si>
    <t>Row Labels</t>
  </si>
  <si>
    <t>Grand Total</t>
  </si>
  <si>
    <t>Sum of SalesAmount</t>
  </si>
  <si>
    <t>Sum of Quantity</t>
  </si>
  <si>
    <t>January</t>
  </si>
  <si>
    <t>February</t>
  </si>
  <si>
    <t>March</t>
  </si>
  <si>
    <t>April</t>
  </si>
  <si>
    <t>May</t>
  </si>
  <si>
    <t>June</t>
  </si>
  <si>
    <t>July</t>
  </si>
  <si>
    <t>August</t>
  </si>
  <si>
    <t>September</t>
  </si>
  <si>
    <t>October</t>
  </si>
  <si>
    <t>November</t>
  </si>
  <si>
    <t>December</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</si>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</sst>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
  </numFmts>
  <fonts count="6" x14ac:knownFonts="1">
    <font>
      <sz val="11"/>
      <color theme="1"/>
      <name val="Calibri"/>
      <family val="2"/>
      <scheme val="minor"/>
    </font>
    <font>
      <b/>
      <sz val="11"/>
      <name val="Calibri"/>
    </font>
    <font>
      <b/>
      <sz val="11"/>
      <color theme="0"/>
      <name val="Calibri"/>
      <family val="2"/>
      <scheme val="minor"/>
    </font>
    <font>
      <b/>
      <sz val="11"/>
      <color theme="1"/>
      <name val="Calibri"/>
      <family val="2"/>
      <scheme val="minor"/>
    </font>
    <font>
      <b/>
      <sz val="26"/>
      <color theme="0"/>
      <name val="Calibri"/>
      <family val="2"/>
      <scheme val="minor"/>
    </font>
    <font>
      <sz val="11"/>
      <color rgb="FF000000"/>
      <name val="Calibri"/>
      <family val="2"/>
      <scheme val="minor"/>
    </font>
  </fonts>
  <fills count="5">
    <fill>
      <patternFill patternType="none"/>
    </fill>
    <fill>
      <patternFill patternType="gray125"/>
    </fill>
    <fill>
      <patternFill patternType="solid">
        <fgColor rgb="FF00B0F0"/>
        <bgColor indexed="64"/>
      </patternFill>
    </fill>
    <fill>
      <patternFill patternType="solid">
        <fgColor theme="3" tint="0.39997558519241921"/>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165" fontId="0" fillId="0" borderId="0" xfId="0" applyNumberFormat="1"/>
    <xf numFmtId="0" fontId="1" fillId="0" borderId="0" xfId="0" applyFont="1" applyAlignment="1">
      <alignment horizontal="left"/>
    </xf>
    <xf numFmtId="165" fontId="1" fillId="0" borderId="0" xfId="0" applyNumberFormat="1" applyFont="1" applyAlignment="1">
      <alignment horizontal="left"/>
    </xf>
    <xf numFmtId="0" fontId="0" fillId="0" borderId="0" xfId="0" applyAlignment="1">
      <alignment horizontal="left"/>
    </xf>
    <xf numFmtId="164" fontId="0" fillId="0" borderId="0" xfId="0" applyNumberFormat="1" applyAlignment="1">
      <alignment horizontal="left"/>
    </xf>
    <xf numFmtId="165" fontId="0" fillId="0" borderId="0" xfId="0" applyNumberFormat="1" applyAlignment="1">
      <alignment horizontal="left"/>
    </xf>
    <xf numFmtId="0" fontId="3" fillId="0" borderId="0" xfId="0" applyFont="1"/>
    <xf numFmtId="0" fontId="3" fillId="0" borderId="0" xfId="0" applyFont="1" applyAlignment="1">
      <alignment horizontal="left"/>
    </xf>
    <xf numFmtId="165" fontId="3" fillId="0" borderId="0" xfId="0" applyNumberFormat="1" applyFont="1" applyAlignment="1">
      <alignment horizontal="left"/>
    </xf>
    <xf numFmtId="10" fontId="0" fillId="0" borderId="0" xfId="0" applyNumberFormat="1" applyAlignment="1">
      <alignment horizontal="left"/>
    </xf>
    <xf numFmtId="165" fontId="3" fillId="0" borderId="1" xfId="0" applyNumberFormat="1" applyFont="1" applyBorder="1" applyAlignment="1">
      <alignment horizontal="left"/>
    </xf>
    <xf numFmtId="0" fontId="0" fillId="0" borderId="1" xfId="0" applyBorder="1"/>
    <xf numFmtId="165" fontId="0" fillId="0" borderId="1" xfId="0" applyNumberFormat="1" applyBorder="1" applyAlignment="1">
      <alignment horizontal="left"/>
    </xf>
    <xf numFmtId="0" fontId="0" fillId="0" borderId="1" xfId="0" applyBorder="1" applyAlignment="1">
      <alignment horizontal="left"/>
    </xf>
    <xf numFmtId="0" fontId="3" fillId="0" borderId="1" xfId="0" applyFont="1" applyBorder="1" applyAlignment="1">
      <alignment horizontal="left"/>
    </xf>
    <xf numFmtId="0" fontId="2" fillId="2" borderId="1" xfId="0" applyFont="1" applyFill="1" applyBorder="1"/>
    <xf numFmtId="0" fontId="3" fillId="0" borderId="1" xfId="0" applyFont="1" applyBorder="1"/>
    <xf numFmtId="165" fontId="0" fillId="0" borderId="1" xfId="0" applyNumberFormat="1" applyBorder="1"/>
    <xf numFmtId="165" fontId="3" fillId="0" borderId="1" xfId="0" applyNumberFormat="1" applyFont="1" applyBorder="1"/>
    <xf numFmtId="0" fontId="2" fillId="2" borderId="1" xfId="0" applyFont="1" applyFill="1" applyBorder="1" applyAlignment="1">
      <alignment horizontal="left"/>
    </xf>
    <xf numFmtId="0" fontId="0" fillId="0" borderId="0" xfId="0" pivotButton="1"/>
    <xf numFmtId="0" fontId="4" fillId="3" borderId="0" xfId="0" applyFont="1" applyFill="1" applyAlignment="1">
      <alignment horizontal="center" vertical="center"/>
    </xf>
    <xf numFmtId="0" fontId="0" fillId="0" borderId="0" xfId="0" applyNumberFormat="1"/>
    <xf numFmtId="0" fontId="0" fillId="3" borderId="0" xfId="0" applyFill="1"/>
    <xf numFmtId="0" fontId="0" fillId="4" borderId="0" xfId="0" applyFill="1"/>
    <xf numFmtId="0" fontId="5" fillId="4" borderId="0" xfId="0" applyFont="1" applyFill="1" applyAlignment="1">
      <alignment horizontal="left"/>
    </xf>
    <xf numFmtId="0" fontId="0" fillId="4" borderId="0" xfId="0" applyFill="1" applyBorder="1"/>
  </cellXfs>
  <cellStyles count="1">
    <cellStyle name="Normal" xfId="0" builtinId="0"/>
  </cellStyles>
  <dxfs count="3">
    <dxf>
      <font>
        <color rgb="FF9C0006"/>
      </font>
      <fill>
        <patternFill>
          <bgColor rgb="FFFFC7CE"/>
        </patternFill>
      </fill>
    </dxf>
    <dxf>
      <font>
        <color rgb="FF006100"/>
      </font>
      <fill>
        <patternFill>
          <bgColor rgb="FFC6EFCE"/>
        </patternFill>
      </fill>
    </dxf>
    <dxf>
      <font>
        <b/>
        <i val="0"/>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[MIS_Reporting_Project_Dataset.xlsx]Pivot Table!PivotTable1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Sales Per Branch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Table'!$A$2:$A$7</c:f>
              <c:strCache>
                <c:ptCount val="5"/>
                <c:pt idx="0">
                  <c:v>Ahmedabad</c:v>
                </c:pt>
                <c:pt idx="1">
                  <c:v>Mumbai</c:v>
                </c:pt>
                <c:pt idx="2">
                  <c:v>Rajkot</c:v>
                </c:pt>
                <c:pt idx="3">
                  <c:v>Surat</c:v>
                </c:pt>
                <c:pt idx="4">
                  <c:v>Vadodara</c:v>
                </c:pt>
              </c:strCache>
            </c:strRef>
          </c:cat>
          <c:val>
            <c:numRef>
              <c:f>'Pivot Table'!$B$2:$B$7</c:f>
              <c:numCache>
                <c:formatCode>"₹"\ #,##0</c:formatCode>
                <c:ptCount val="5"/>
                <c:pt idx="0">
                  <c:v>7500800</c:v>
                </c:pt>
                <c:pt idx="1">
                  <c:v>8945100</c:v>
                </c:pt>
                <c:pt idx="2">
                  <c:v>10325800</c:v>
                </c:pt>
                <c:pt idx="3">
                  <c:v>4349200</c:v>
                </c:pt>
                <c:pt idx="4">
                  <c:v>5631000</c:v>
                </c:pt>
              </c:numCache>
            </c:numRef>
          </c:val>
          <c:extLst>
            <c:ext xmlns:c16="http://schemas.microsoft.com/office/drawing/2014/chart" uri="{C3380CC4-5D6E-409C-BE32-E72D297353CC}">
              <c16:uniqueId val="{00000000-30D4-49E7-A6B5-F361124D2CCA}"/>
            </c:ext>
          </c:extLst>
        </c:ser>
        <c:dLbls>
          <c:dLblPos val="outEnd"/>
          <c:showLegendKey val="0"/>
          <c:showVal val="1"/>
          <c:showCatName val="0"/>
          <c:showSerName val="0"/>
          <c:showPercent val="0"/>
          <c:showBubbleSize val="0"/>
        </c:dLbls>
        <c:gapWidth val="100"/>
        <c:overlap val="-24"/>
        <c:axId val="676145775"/>
        <c:axId val="676152975"/>
      </c:barChart>
      <c:catAx>
        <c:axId val="67614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6152975"/>
        <c:crosses val="autoZero"/>
        <c:auto val="1"/>
        <c:lblAlgn val="ctr"/>
        <c:lblOffset val="100"/>
        <c:noMultiLvlLbl val="0"/>
      </c:catAx>
      <c:valAx>
        <c:axId val="676152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614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[MIS_Reporting_Project_Dataset.xlsx]Pivot Table!PivotTable2</c:name>
    <c:fmtId val="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Sum of SalesAmount</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 Table'!$A$11:$A$17</c:f>
              <c:strCache>
                <c:ptCount val="6"/>
                <c:pt idx="0">
                  <c:v>Chair</c:v>
                </c:pt>
                <c:pt idx="1">
                  <c:v>Desk</c:v>
                </c:pt>
                <c:pt idx="2">
                  <c:v>Keyboard</c:v>
                </c:pt>
                <c:pt idx="3">
                  <c:v>Laptop</c:v>
                </c:pt>
                <c:pt idx="4">
                  <c:v>Mouse</c:v>
                </c:pt>
                <c:pt idx="5">
                  <c:v>Printer</c:v>
                </c:pt>
              </c:strCache>
            </c:strRef>
          </c:cat>
          <c:val>
            <c:numRef>
              <c:f>'Pivot Table'!$B$11:$B$17</c:f>
              <c:numCache>
                <c:formatCode>"₹"\ #,##0</c:formatCode>
                <c:ptCount val="6"/>
                <c:pt idx="0">
                  <c:v>1585500</c:v>
                </c:pt>
                <c:pt idx="1">
                  <c:v>3521000</c:v>
                </c:pt>
                <c:pt idx="2">
                  <c:v>608400</c:v>
                </c:pt>
                <c:pt idx="3">
                  <c:v>26785000</c:v>
                </c:pt>
                <c:pt idx="4">
                  <c:v>229000</c:v>
                </c:pt>
                <c:pt idx="5">
                  <c:v>4023000</c:v>
                </c:pt>
              </c:numCache>
            </c:numRef>
          </c:val>
          <c:extLst>
            <c:ext xmlns:c16="http://schemas.microsoft.com/office/drawing/2014/chart" uri="{C3380CC4-5D6E-409C-BE32-E72D297353CC}">
              <c16:uniqueId val="{00000000-E676-4A72-80AB-380550C76F8B}"/>
            </c:ext>
          </c:extLst>
        </c:ser>
        <c:ser>
          <c:idx val="1"/>
          <c:order val="1"/>
          <c:tx>
            <c:strRef>
              <c:f>'Pivot Table'!$C$10</c:f>
              <c:strCache>
                <c:ptCount val="1"/>
                <c:pt idx="0">
                  <c:v>Sum of Quantity</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'Pivot Table'!$A$11:$A$17</c:f>
              <c:strCache>
                <c:ptCount val="6"/>
                <c:pt idx="0">
                  <c:v>Chair</c:v>
                </c:pt>
                <c:pt idx="1">
                  <c:v>Desk</c:v>
                </c:pt>
                <c:pt idx="2">
                  <c:v>Keyboard</c:v>
                </c:pt>
                <c:pt idx="3">
                  <c:v>Laptop</c:v>
                </c:pt>
                <c:pt idx="4">
                  <c:v>Mouse</c:v>
                </c:pt>
                <c:pt idx="5">
                  <c:v>Printer</c:v>
                </c:pt>
              </c:strCache>
            </c:strRef>
          </c:cat>
          <c:val>
            <c:numRef>
              <c:f>'Pivot Table'!$C$11:$C$17</c:f>
              <c:numCache>
                <c:formatCode>General</c:formatCode>
                <c:ptCount val="6"/>
                <c:pt idx="0">
                  <c:v>453</c:v>
                </c:pt>
                <c:pt idx="1">
                  <c:v>503</c:v>
                </c:pt>
                <c:pt idx="2">
                  <c:v>507</c:v>
                </c:pt>
                <c:pt idx="3">
                  <c:v>487</c:v>
                </c:pt>
                <c:pt idx="4">
                  <c:v>458</c:v>
                </c:pt>
                <c:pt idx="5">
                  <c:v>447</c:v>
                </c:pt>
              </c:numCache>
            </c:numRef>
          </c:val>
          <c:extLst>
            <c:ext xmlns:c16="http://schemas.microsoft.com/office/drawing/2014/chart" uri="{C3380CC4-5D6E-409C-BE32-E72D297353CC}">
              <c16:uniqueId val="{00000001-E676-4A72-80AB-380550C76F8B}"/>
            </c:ext>
          </c:extLst>
        </c:ser>
        <c:dLbls>
          <c:showLegendKey val="0"/>
          <c:showVal val="0"/>
          <c:showCatName val="0"/>
          <c:showSerName val="0"/>
          <c:showPercent val="0"/>
          <c:showBubbleSize val="0"/>
        </c:dLbls>
        <c:gapWidth val="100"/>
        <c:overlap val="-24"/>
        <c:axId val="676147695"/>
        <c:axId val="676149135"/>
      </c:barChart>
      <c:catAx>
        <c:axId val="67614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6149135"/>
        <c:crosses val="autoZero"/>
        <c:auto val="1"/>
        <c:lblAlgn val="ctr"/>
        <c:lblOffset val="100"/>
        <c:noMultiLvlLbl val="0"/>
      </c:catAx>
      <c:valAx>
        <c:axId val="676149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614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[MIS_Reporting_Project_Dataset.xlsx]Pivot Table!PivotTable3</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Payment Methods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pieChart>
        <c:varyColors val="1"/>
        <c:ser>
          <c:idx val="0"/>
          <c:order val="0"/>
          <c:tx>
            <c:strRef>
              <c:f>'Pivot Table'!$B$20</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9FF3-40A0-A80A-20995A834AC0}"/>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9FF3-40A0-A80A-20995A834AC0}"/>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9FF3-40A0-A80A-20995A834AC0}"/>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9FF3-40A0-A80A-20995A834AC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Table'!$A$21:$A$25</c:f>
              <c:strCache>
                <c:ptCount val="4"/>
                <c:pt idx="0">
                  <c:v>Card</c:v>
                </c:pt>
                <c:pt idx="1">
                  <c:v>Cash</c:v>
                </c:pt>
                <c:pt idx="2">
                  <c:v>Net Banking</c:v>
                </c:pt>
                <c:pt idx="3">
                  <c:v>UPI</c:v>
                </c:pt>
              </c:strCache>
            </c:strRef>
          </c:cat>
          <c:val>
            <c:numRef>
              <c:f>'Pivot Table'!$B$21:$B$25</c:f>
              <c:numCache>
                <c:formatCode>"₹"\ #,##0</c:formatCode>
                <c:ptCount val="4"/>
                <c:pt idx="0">
                  <c:v>8801200</c:v>
                </c:pt>
                <c:pt idx="1">
                  <c:v>8475000</c:v>
                </c:pt>
                <c:pt idx="2">
                  <c:v>8563500</c:v>
                </c:pt>
                <c:pt idx="3">
                  <c:v>10912200</c:v>
                </c:pt>
              </c:numCache>
            </c:numRef>
          </c:val>
          <c:extLst>
            <c:ext xmlns:c16="http://schemas.microsoft.com/office/drawing/2014/chart" uri="{C3380CC4-5D6E-409C-BE32-E72D297353CC}">
              <c16:uniqueId val="{00000000-3673-4EE0-8EC1-734206A516E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[MIS_Reporting_Project_Dataset.xlsx]Pivot Table!PivotTable4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Table'!$A$29:$A$41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Table'!$B$29:$B$41</c:f>
              <c:numCache>
                <c:formatCode>"₹"\ #,##0</c:formatCode>
                <c:ptCount val="12"/>
                <c:pt idx="0">
                  <c:v>5510900</c:v>
                </c:pt>
                <c:pt idx="1">
                  <c:v>3011300</c:v>
                </c:pt>
                <c:pt idx="2">
                  <c:v>1679600</c:v>
                </c:pt>
                <c:pt idx="3">
                  <c:v>3116600</c:v>
                </c:pt>
                <c:pt idx="4">
                  <c:v>3114500</c:v>
                </c:pt>
                <c:pt idx="5">
                  <c:v>3005300</c:v>
                </c:pt>
                <c:pt idx="6">
                  <c:v>2282500</c:v>
                </c:pt>
                <c:pt idx="7">
                  <c:v>2978700</c:v>
                </c:pt>
                <c:pt idx="8">
                  <c:v>3216000</c:v>
                </c:pt>
                <c:pt idx="9">
                  <c:v>3096400</c:v>
                </c:pt>
                <c:pt idx="10">
                  <c:v>3458800</c:v>
                </c:pt>
                <c:pt idx="11">
                  <c:v>2281300</c:v>
                </c:pt>
              </c:numCache>
            </c:numRef>
          </c:val>
          <c:smooth val="0"/>
          <c:extLst>
            <c:ext xmlns:c16="http://schemas.microsoft.com/office/drawing/2014/chart" uri="{C3380CC4-5D6E-409C-BE32-E72D297353CC}">
              <c16:uniqueId val="{00000000-04F0-4FC9-9D76-16C86BC4A487}"/>
            </c:ext>
          </c:extLst>
        </c:ser>
        <c:dLbls>
          <c:showLegendKey val="0"/>
          <c:showVal val="0"/>
          <c:showCatName val="0"/>
          <c:showSerName val="0"/>
          <c:showPercent val="0"/>
          <c:showBubbleSize val="0"/>
        </c:dLbls>
        <c:marker val="1"/>
        <c:smooth val="0"/>
        <c:axId val="676167855"/>
        <c:axId val="676156335"/>
      </c:lineChart>
      <c:catAx>
        <c:axId val="67616785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6156335"/>
        <c:crosses val="autoZero"/>
        <c:auto val="1"/>
        <c:lblAlgn val="ctr"/>
        <c:lblOffset val="100"/>
        <c:noMultiLvlLbl val="0"/>
      </c:catAx>
      <c:valAx>
        <c:axId val="676156335"/>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616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[MIS_Reporting_Project_Dataset.xlsx]Pivot Table!PivotTable1</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Sales Per Branch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Table'!$A$2:$A$7</c:f>
              <c:strCache>
                <c:ptCount val="5"/>
                <c:pt idx="0">
                  <c:v>Ahmedabad</c:v>
                </c:pt>
                <c:pt idx="1">
                  <c:v>Mumbai</c:v>
                </c:pt>
                <c:pt idx="2">
                  <c:v>Rajkot</c:v>
                </c:pt>
                <c:pt idx="3">
                  <c:v>Surat</c:v>
                </c:pt>
                <c:pt idx="4">
                  <c:v>Vadodara</c:v>
                </c:pt>
              </c:strCache>
            </c:strRef>
          </c:cat>
          <c:val>
            <c:numRef>
              <c:f>'Pivot Table'!$B$2:$B$7</c:f>
              <c:numCache>
                <c:formatCode>"₹"\ #,##0</c:formatCode>
                <c:ptCount val="5"/>
                <c:pt idx="0">
                  <c:v>7500800</c:v>
                </c:pt>
                <c:pt idx="1">
                  <c:v>8945100</c:v>
                </c:pt>
                <c:pt idx="2">
                  <c:v>10325800</c:v>
                </c:pt>
                <c:pt idx="3">
                  <c:v>4349200</c:v>
                </c:pt>
                <c:pt idx="4">
                  <c:v>5631000</c:v>
                </c:pt>
              </c:numCache>
            </c:numRef>
          </c:val>
          <c:extLst>
            <c:ext xmlns:c16="http://schemas.microsoft.com/office/drawing/2014/chart" uri="{C3380CC4-5D6E-409C-BE32-E72D297353CC}">
              <c16:uniqueId val="{00000000-82EA-4144-AFA9-9AF237900516}"/>
            </c:ext>
          </c:extLst>
        </c:ser>
        <c:dLbls>
          <c:dLblPos val="outEnd"/>
          <c:showLegendKey val="0"/>
          <c:showVal val="1"/>
          <c:showCatName val="0"/>
          <c:showSerName val="0"/>
          <c:showPercent val="0"/>
          <c:showBubbleSize val="0"/>
        </c:dLbls>
        <c:gapWidth val="100"/>
        <c:overlap val="-24"/>
        <c:axId val="676145775"/>
        <c:axId val="676152975"/>
      </c:barChart>
      <c:catAx>
        <c:axId val="67614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6152975"/>
        <c:crosses val="autoZero"/>
        <c:auto val="1"/>
        <c:lblAlgn val="ctr"/>
        <c:lblOffset val="100"/>
        <c:noMultiLvlLbl val="0"/>
      </c:catAx>
      <c:valAx>
        <c:axId val="676152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614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[MIS_Reporting_Project_Dataset.xlsx]Pivot Table!PivotTable2</c:name>
    <c:fmtId val="1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Sum of SalesAmount</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 Table'!$A$11:$A$17</c:f>
              <c:strCache>
                <c:ptCount val="6"/>
                <c:pt idx="0">
                  <c:v>Chair</c:v>
                </c:pt>
                <c:pt idx="1">
                  <c:v>Desk</c:v>
                </c:pt>
                <c:pt idx="2">
                  <c:v>Keyboard</c:v>
                </c:pt>
                <c:pt idx="3">
                  <c:v>Laptop</c:v>
                </c:pt>
                <c:pt idx="4">
                  <c:v>Mouse</c:v>
                </c:pt>
                <c:pt idx="5">
                  <c:v>Printer</c:v>
                </c:pt>
              </c:strCache>
            </c:strRef>
          </c:cat>
          <c:val>
            <c:numRef>
              <c:f>'Pivot Table'!$B$11:$B$17</c:f>
              <c:numCache>
                <c:formatCode>"₹"\ #,##0</c:formatCode>
                <c:ptCount val="6"/>
                <c:pt idx="0">
                  <c:v>1585500</c:v>
                </c:pt>
                <c:pt idx="1">
                  <c:v>3521000</c:v>
                </c:pt>
                <c:pt idx="2">
                  <c:v>608400</c:v>
                </c:pt>
                <c:pt idx="3">
                  <c:v>26785000</c:v>
                </c:pt>
                <c:pt idx="4">
                  <c:v>229000</c:v>
                </c:pt>
                <c:pt idx="5">
                  <c:v>4023000</c:v>
                </c:pt>
              </c:numCache>
            </c:numRef>
          </c:val>
          <c:extLst>
            <c:ext xmlns:c16="http://schemas.microsoft.com/office/drawing/2014/chart" uri="{C3380CC4-5D6E-409C-BE32-E72D297353CC}">
              <c16:uniqueId val="{00000000-D07F-4F16-A2D8-178C0FF702B9}"/>
            </c:ext>
          </c:extLst>
        </c:ser>
        <c:ser>
          <c:idx val="1"/>
          <c:order val="1"/>
          <c:tx>
            <c:strRef>
              <c:f>'Pivot Table'!$C$10</c:f>
              <c:strCache>
                <c:ptCount val="1"/>
                <c:pt idx="0">
                  <c:v>Sum of Quantity</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'Pivot Table'!$A$11:$A$17</c:f>
              <c:strCache>
                <c:ptCount val="6"/>
                <c:pt idx="0">
                  <c:v>Chair</c:v>
                </c:pt>
                <c:pt idx="1">
                  <c:v>Desk</c:v>
                </c:pt>
                <c:pt idx="2">
                  <c:v>Keyboard</c:v>
                </c:pt>
                <c:pt idx="3">
                  <c:v>Laptop</c:v>
                </c:pt>
                <c:pt idx="4">
                  <c:v>Mouse</c:v>
                </c:pt>
                <c:pt idx="5">
                  <c:v>Printer</c:v>
                </c:pt>
              </c:strCache>
            </c:strRef>
          </c:cat>
          <c:val>
            <c:numRef>
              <c:f>'Pivot Table'!$C$11:$C$17</c:f>
              <c:numCache>
                <c:formatCode>General</c:formatCode>
                <c:ptCount val="6"/>
                <c:pt idx="0">
                  <c:v>453</c:v>
                </c:pt>
                <c:pt idx="1">
                  <c:v>503</c:v>
                </c:pt>
                <c:pt idx="2">
                  <c:v>507</c:v>
                </c:pt>
                <c:pt idx="3">
                  <c:v>487</c:v>
                </c:pt>
                <c:pt idx="4">
                  <c:v>458</c:v>
                </c:pt>
                <c:pt idx="5">
                  <c:v>447</c:v>
                </c:pt>
              </c:numCache>
            </c:numRef>
          </c:val>
          <c:extLst>
            <c:ext xmlns:c16="http://schemas.microsoft.com/office/drawing/2014/chart" uri="{C3380CC4-5D6E-409C-BE32-E72D297353CC}">
              <c16:uniqueId val="{00000001-D07F-4F16-A2D8-178C0FF702B9}"/>
            </c:ext>
          </c:extLst>
        </c:ser>
        <c:dLbls>
          <c:showLegendKey val="0"/>
          <c:showVal val="0"/>
          <c:showCatName val="0"/>
          <c:showSerName val="0"/>
          <c:showPercent val="0"/>
          <c:showBubbleSize val="0"/>
        </c:dLbls>
        <c:gapWidth val="100"/>
        <c:overlap val="-24"/>
        <c:axId val="676147695"/>
        <c:axId val="676149135"/>
      </c:barChart>
      <c:catAx>
        <c:axId val="67614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6149135"/>
        <c:crosses val="autoZero"/>
        <c:auto val="1"/>
        <c:lblAlgn val="ctr"/>
        <c:lblOffset val="100"/>
        <c:noMultiLvlLbl val="0"/>
      </c:catAx>
      <c:valAx>
        <c:axId val="676149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614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[MIS_Reporting_Project_Dataset.xlsx]Pivot Table!PivotTable3</c:name>
    <c:fmtId val="1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Payment Methods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pieChart>
        <c:varyColors val="1"/>
        <c:ser>
          <c:idx val="0"/>
          <c:order val="0"/>
          <c:tx>
            <c:strRef>
              <c:f>'Pivot Table'!$B$20</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5368-4481-808C-629D9C602CC2}"/>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5368-4481-808C-629D9C602CC2}"/>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5368-4481-808C-629D9C602CC2}"/>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5368-4481-808C-629D9C602C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Table'!$A$21:$A$25</c:f>
              <c:strCache>
                <c:ptCount val="4"/>
                <c:pt idx="0">
                  <c:v>Card</c:v>
                </c:pt>
                <c:pt idx="1">
                  <c:v>Cash</c:v>
                </c:pt>
                <c:pt idx="2">
                  <c:v>Net Banking</c:v>
                </c:pt>
                <c:pt idx="3">
                  <c:v>UPI</c:v>
                </c:pt>
              </c:strCache>
            </c:strRef>
          </c:cat>
          <c:val>
            <c:numRef>
              <c:f>'Pivot Table'!$B$21:$B$25</c:f>
              <c:numCache>
                <c:formatCode>"₹"\ #,##0</c:formatCode>
                <c:ptCount val="4"/>
                <c:pt idx="0">
                  <c:v>8801200</c:v>
                </c:pt>
                <c:pt idx="1">
                  <c:v>8475000</c:v>
                </c:pt>
                <c:pt idx="2">
                  <c:v>8563500</c:v>
                </c:pt>
                <c:pt idx="3">
                  <c:v>10912200</c:v>
                </c:pt>
              </c:numCache>
            </c:numRef>
          </c:val>
          <c:extLst>
            <c:ext xmlns:c16="http://schemas.microsoft.com/office/drawing/2014/chart" uri="{C3380CC4-5D6E-409C-BE32-E72D297353CC}">
              <c16:uniqueId val="{00000008-5368-4481-808C-629D9C602CC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[MIS_Reporting_Project_Dataset.xlsx]Pivot Table!PivotTable4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Table'!$A$29:$A$41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Table'!$B$29:$B$41</c:f>
              <c:numCache>
                <c:formatCode>"₹"\ #,##0</c:formatCode>
                <c:ptCount val="12"/>
                <c:pt idx="0">
                  <c:v>5510900</c:v>
                </c:pt>
                <c:pt idx="1">
                  <c:v>3011300</c:v>
                </c:pt>
                <c:pt idx="2">
                  <c:v>1679600</c:v>
                </c:pt>
                <c:pt idx="3">
                  <c:v>3116600</c:v>
                </c:pt>
                <c:pt idx="4">
                  <c:v>3114500</c:v>
                </c:pt>
                <c:pt idx="5">
                  <c:v>3005300</c:v>
                </c:pt>
                <c:pt idx="6">
                  <c:v>2282500</c:v>
                </c:pt>
                <c:pt idx="7">
                  <c:v>2978700</c:v>
                </c:pt>
                <c:pt idx="8">
                  <c:v>3216000</c:v>
                </c:pt>
                <c:pt idx="9">
                  <c:v>3096400</c:v>
                </c:pt>
                <c:pt idx="10">
                  <c:v>3458800</c:v>
                </c:pt>
                <c:pt idx="11">
                  <c:v>2281300</c:v>
                </c:pt>
              </c:numCache>
            </c:numRef>
          </c:val>
          <c:smooth val="0"/>
          <c:extLst>
            <c:ext xmlns:c16="http://schemas.microsoft.com/office/drawing/2014/chart" uri="{C3380CC4-5D6E-409C-BE32-E72D297353CC}">
              <c16:uniqueId val="{00000000-A113-4104-986F-DB34A3AC7A78}"/>
            </c:ext>
          </c:extLst>
        </c:ser>
        <c:dLbls>
          <c:showLegendKey val="0"/>
          <c:showVal val="0"/>
          <c:showCatName val="0"/>
          <c:showSerName val="0"/>
          <c:showPercent val="0"/>
          <c:showBubbleSize val="0"/>
        </c:dLbls>
        <c:marker val="1"/>
        <c:smooth val="0"/>
        <c:axId val="676167855"/>
        <c:axId val="676156335"/>
      </c:lineChart>
      <c:catAx>
        <c:axId val="67616785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6156335"/>
        <c:crosses val="autoZero"/>
        <c:auto val="1"/>
        <c:lblAlgn val="ctr"/>
        <c:lblOffset val="100"/>
        <c:noMultiLvlLbl val="0"/>
      </c:catAx>
      <c:valAx>
        <c:axId val="676156335"/>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616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[MIS_Reporting_Project_Dataset.xlsx]Pivot Table!PivotTable4</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 Per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Table'!$A$29:$A$41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Table'!$B$29:$B$41</c:f>
              <c:numCache>
                <c:formatCode>"₹"\ #,##0</c:formatCode>
                <c:ptCount val="12"/>
                <c:pt idx="0">
                  <c:v>5510900</c:v>
                </c:pt>
                <c:pt idx="1">
                  <c:v>3011300</c:v>
                </c:pt>
                <c:pt idx="2">
                  <c:v>1679600</c:v>
                </c:pt>
                <c:pt idx="3">
                  <c:v>3116600</c:v>
                </c:pt>
                <c:pt idx="4">
                  <c:v>3114500</c:v>
                </c:pt>
                <c:pt idx="5">
                  <c:v>3005300</c:v>
                </c:pt>
                <c:pt idx="6">
                  <c:v>2282500</c:v>
                </c:pt>
                <c:pt idx="7">
                  <c:v>2978700</c:v>
                </c:pt>
                <c:pt idx="8">
                  <c:v>3216000</c:v>
                </c:pt>
                <c:pt idx="9">
                  <c:v>3096400</c:v>
                </c:pt>
                <c:pt idx="10">
                  <c:v>3458800</c:v>
                </c:pt>
                <c:pt idx="11">
                  <c:v>2281300</c:v>
                </c:pt>
              </c:numCache>
            </c:numRef>
          </c:val>
          <c:smooth val="0"/>
          <c:extLst>
            <c:ext xmlns:c16="http://schemas.microsoft.com/office/drawing/2014/chart" uri="{C3380CC4-5D6E-409C-BE32-E72D297353CC}">
              <c16:uniqueId val="{00000000-8E0E-47CC-8735-95D94AE916A6}"/>
            </c:ext>
          </c:extLst>
        </c:ser>
        <c:dLbls>
          <c:showLegendKey val="0"/>
          <c:showVal val="0"/>
          <c:showCatName val="0"/>
          <c:showSerName val="0"/>
          <c:showPercent val="0"/>
          <c:showBubbleSize val="0"/>
        </c:dLbls>
        <c:marker val="1"/>
        <c:smooth val="0"/>
        <c:axId val="676167855"/>
        <c:axId val="676156335"/>
      </c:lineChart>
      <c:catAx>
        <c:axId val="67616785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6156335"/>
        <c:crosses val="autoZero"/>
        <c:auto val="1"/>
        <c:lblAlgn val="ctr"/>
        <c:lblOffset val="100"/>
        <c:noMultiLvlLbl val="0"/>
      </c:catAx>
      <c:valAx>
        <c:axId val="676156335"/>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616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[MIS_Reporting_Project_Dataset.xlsx]Pivot Table!PivotTable3</c:name>
    <c:fmtId val="2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2"/>
                </a:solidFill>
              </a:rPr>
              <a:t>Payment Method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pivotFmt>
      <c:pivotFmt>
        <c:idx val="19"/>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pivotFmt>
      <c:pivotFmt>
        <c:idx val="2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pivotFmt>
    </c:pivotFmts>
    <c:plotArea>
      <c:layout/>
      <c:pieChart>
        <c:varyColors val="1"/>
        <c:ser>
          <c:idx val="0"/>
          <c:order val="0"/>
          <c:tx>
            <c:strRef>
              <c:f>'Pivot Table'!$B$20</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C575-4E59-9018-4F5ABC5FC095}"/>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C575-4E59-9018-4F5ABC5FC095}"/>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C575-4E59-9018-4F5ABC5FC095}"/>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C575-4E59-9018-4F5ABC5FC0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Table'!$A$21:$A$25</c:f>
              <c:strCache>
                <c:ptCount val="4"/>
                <c:pt idx="0">
                  <c:v>Card</c:v>
                </c:pt>
                <c:pt idx="1">
                  <c:v>Cash</c:v>
                </c:pt>
                <c:pt idx="2">
                  <c:v>Net Banking</c:v>
                </c:pt>
                <c:pt idx="3">
                  <c:v>UPI</c:v>
                </c:pt>
              </c:strCache>
            </c:strRef>
          </c:cat>
          <c:val>
            <c:numRef>
              <c:f>'Pivot Table'!$B$21:$B$25</c:f>
              <c:numCache>
                <c:formatCode>"₹"\ #,##0</c:formatCode>
                <c:ptCount val="4"/>
                <c:pt idx="0">
                  <c:v>8801200</c:v>
                </c:pt>
                <c:pt idx="1">
                  <c:v>8475000</c:v>
                </c:pt>
                <c:pt idx="2">
                  <c:v>8563500</c:v>
                </c:pt>
                <c:pt idx="3">
                  <c:v>10912200</c:v>
                </c:pt>
              </c:numCache>
            </c:numRef>
          </c:val>
          <c:extLst>
            <c:ext xmlns:c16="http://schemas.microsoft.com/office/drawing/2014/chart" uri="{C3380CC4-5D6E-409C-BE32-E72D297353CC}">
              <c16:uniqueId val="{00000008-C575-4E59-9018-4F5ABC5FC0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[MIS_Reporting_Project_Dataset.xlsx]Pivot Table!PivotTable1</c:name>
    <c:fmtId val="1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Sales Per Branch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Table'!$A$2:$A$7</c:f>
              <c:strCache>
                <c:ptCount val="5"/>
                <c:pt idx="0">
                  <c:v>Ahmedabad</c:v>
                </c:pt>
                <c:pt idx="1">
                  <c:v>Mumbai</c:v>
                </c:pt>
                <c:pt idx="2">
                  <c:v>Rajkot</c:v>
                </c:pt>
                <c:pt idx="3">
                  <c:v>Surat</c:v>
                </c:pt>
                <c:pt idx="4">
                  <c:v>Vadodara</c:v>
                </c:pt>
              </c:strCache>
            </c:strRef>
          </c:cat>
          <c:val>
            <c:numRef>
              <c:f>'Pivot Table'!$B$2:$B$7</c:f>
              <c:numCache>
                <c:formatCode>"₹"\ #,##0</c:formatCode>
                <c:ptCount val="5"/>
                <c:pt idx="0">
                  <c:v>7500800</c:v>
                </c:pt>
                <c:pt idx="1">
                  <c:v>8945100</c:v>
                </c:pt>
                <c:pt idx="2">
                  <c:v>10325800</c:v>
                </c:pt>
                <c:pt idx="3">
                  <c:v>4349200</c:v>
                </c:pt>
                <c:pt idx="4">
                  <c:v>5631000</c:v>
                </c:pt>
              </c:numCache>
            </c:numRef>
          </c:val>
          <c:extLst>
            <c:ext xmlns:c16="http://schemas.microsoft.com/office/drawing/2014/chart" uri="{C3380CC4-5D6E-409C-BE32-E72D297353CC}">
              <c16:uniqueId val="{00000000-D2D8-4663-8F5C-4DE3F650B4CF}"/>
            </c:ext>
          </c:extLst>
        </c:ser>
        <c:dLbls>
          <c:dLblPos val="outEnd"/>
          <c:showLegendKey val="0"/>
          <c:showVal val="1"/>
          <c:showCatName val="0"/>
          <c:showSerName val="0"/>
          <c:showPercent val="0"/>
          <c:showBubbleSize val="0"/>
        </c:dLbls>
        <c:gapWidth val="100"/>
        <c:overlap val="-24"/>
        <c:axId val="676145775"/>
        <c:axId val="676152975"/>
      </c:barChart>
      <c:catAx>
        <c:axId val="67614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6152975"/>
        <c:crosses val="autoZero"/>
        <c:auto val="1"/>
        <c:lblAlgn val="ctr"/>
        <c:lblOffset val="100"/>
        <c:noMultiLvlLbl val="0"/>
      </c:catAx>
      <c:valAx>
        <c:axId val="676152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614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[MIS_Reporting_Project_Dataset.xlsx]Pivot Table!PivotTable2</c:name>
    <c:fmtId val="1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Sum of SalesAmount</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 Table'!$A$11:$A$17</c:f>
              <c:strCache>
                <c:ptCount val="6"/>
                <c:pt idx="0">
                  <c:v>Chair</c:v>
                </c:pt>
                <c:pt idx="1">
                  <c:v>Desk</c:v>
                </c:pt>
                <c:pt idx="2">
                  <c:v>Keyboard</c:v>
                </c:pt>
                <c:pt idx="3">
                  <c:v>Laptop</c:v>
                </c:pt>
                <c:pt idx="4">
                  <c:v>Mouse</c:v>
                </c:pt>
                <c:pt idx="5">
                  <c:v>Printer</c:v>
                </c:pt>
              </c:strCache>
            </c:strRef>
          </c:cat>
          <c:val>
            <c:numRef>
              <c:f>'Pivot Table'!$B$11:$B$17</c:f>
              <c:numCache>
                <c:formatCode>"₹"\ #,##0</c:formatCode>
                <c:ptCount val="6"/>
                <c:pt idx="0">
                  <c:v>1585500</c:v>
                </c:pt>
                <c:pt idx="1">
                  <c:v>3521000</c:v>
                </c:pt>
                <c:pt idx="2">
                  <c:v>608400</c:v>
                </c:pt>
                <c:pt idx="3">
                  <c:v>26785000</c:v>
                </c:pt>
                <c:pt idx="4">
                  <c:v>229000</c:v>
                </c:pt>
                <c:pt idx="5">
                  <c:v>4023000</c:v>
                </c:pt>
              </c:numCache>
            </c:numRef>
          </c:val>
          <c:extLst>
            <c:ext xmlns:c16="http://schemas.microsoft.com/office/drawing/2014/chart" uri="{C3380CC4-5D6E-409C-BE32-E72D297353CC}">
              <c16:uniqueId val="{00000000-5C24-42FB-A05C-A2BB49BB3D17}"/>
            </c:ext>
          </c:extLst>
        </c:ser>
        <c:ser>
          <c:idx val="1"/>
          <c:order val="1"/>
          <c:tx>
            <c:strRef>
              <c:f>'Pivot Table'!$C$10</c:f>
              <c:strCache>
                <c:ptCount val="1"/>
                <c:pt idx="0">
                  <c:v>Sum of Quantity</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'Pivot Table'!$A$11:$A$17</c:f>
              <c:strCache>
                <c:ptCount val="6"/>
                <c:pt idx="0">
                  <c:v>Chair</c:v>
                </c:pt>
                <c:pt idx="1">
                  <c:v>Desk</c:v>
                </c:pt>
                <c:pt idx="2">
                  <c:v>Keyboard</c:v>
                </c:pt>
                <c:pt idx="3">
                  <c:v>Laptop</c:v>
                </c:pt>
                <c:pt idx="4">
                  <c:v>Mouse</c:v>
                </c:pt>
                <c:pt idx="5">
                  <c:v>Printer</c:v>
                </c:pt>
              </c:strCache>
            </c:strRef>
          </c:cat>
          <c:val>
            <c:numRef>
              <c:f>'Pivot Table'!$C$11:$C$17</c:f>
              <c:numCache>
                <c:formatCode>General</c:formatCode>
                <c:ptCount val="6"/>
                <c:pt idx="0">
                  <c:v>453</c:v>
                </c:pt>
                <c:pt idx="1">
                  <c:v>503</c:v>
                </c:pt>
                <c:pt idx="2">
                  <c:v>507</c:v>
                </c:pt>
                <c:pt idx="3">
                  <c:v>487</c:v>
                </c:pt>
                <c:pt idx="4">
                  <c:v>458</c:v>
                </c:pt>
                <c:pt idx="5">
                  <c:v>447</c:v>
                </c:pt>
              </c:numCache>
            </c:numRef>
          </c:val>
          <c:extLst>
            <c:ext xmlns:c16="http://schemas.microsoft.com/office/drawing/2014/chart" uri="{C3380CC4-5D6E-409C-BE32-E72D297353CC}">
              <c16:uniqueId val="{00000001-5C24-42FB-A05C-A2BB49BB3D17}"/>
            </c:ext>
          </c:extLst>
        </c:ser>
        <c:dLbls>
          <c:showLegendKey val="0"/>
          <c:showVal val="0"/>
          <c:showCatName val="0"/>
          <c:showSerName val="0"/>
          <c:showPercent val="0"/>
          <c:showBubbleSize val="0"/>
        </c:dLbls>
        <c:gapWidth val="100"/>
        <c:overlap val="-24"/>
        <c:axId val="676147695"/>
        <c:axId val="676149135"/>
      </c:barChart>
      <c:catAx>
        <c:axId val="67614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6149135"/>
        <c:crosses val="autoZero"/>
        <c:auto val="1"/>
        <c:lblAlgn val="ctr"/>
        <c:lblOffset val="100"/>
        <c:noMultiLvlLbl val="0"/>
      </c:catAx>
      <c:valAx>
        <c:axId val="676149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614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423698</xdr:colOff>
      <xdr:row>0</xdr:row>
      <xdr:rowOff>0</xdr:rowOff>
    </xdr:from>
    <xdr:to>
      <xdr:col>13</xdr:col>
      <xdr:colOff>108388</xdr:colOff>
      <xdr:row>14</xdr:row>
      <xdr:rowOff>76200</xdr:rowOff>
    </xdr:to>
    <xdr:graphicFrame macro="">
      <xdr:nvGraphicFramePr>
        <xdr:cNvPr id="2" name="Chart 1">
          <a:extLst>
            <a:ext uri="{FF2B5EF4-FFF2-40B4-BE49-F238E27FC236}">
              <a16:creationId xmlns:a16="http://schemas.microsoft.com/office/drawing/2014/main" id="{9A80C163-7783-54BD-6938-C9292B339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430267</xdr:colOff>
      <xdr:row>14</xdr:row>
      <xdr:rowOff>63719</xdr:rowOff>
    </xdr:from>
    <xdr:to>
      <xdr:col>13</xdr:col>
      <xdr:colOff>114957</xdr:colOff>
      <xdr:row>28</xdr:row>
      <xdr:rowOff>139919</xdr:rowOff>
    </xdr:to>
    <xdr:graphicFrame macro="">
      <xdr:nvGraphicFramePr>
        <xdr:cNvPr id="3" name="Chart 2">
          <a:extLst>
            <a:ext uri="{FF2B5EF4-FFF2-40B4-BE49-F238E27FC236}">
              <a16:creationId xmlns:a16="http://schemas.microsoft.com/office/drawing/2014/main" id="{8E831CA9-3F07-C198-F301-F0B2AC0F2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430267</xdr:colOff>
      <xdr:row>28</xdr:row>
      <xdr:rowOff>142546</xdr:rowOff>
    </xdr:from>
    <xdr:to>
      <xdr:col>13</xdr:col>
      <xdr:colOff>114957</xdr:colOff>
      <xdr:row>43</xdr:row>
      <xdr:rowOff>28246</xdr:rowOff>
    </xdr:to>
    <xdr:graphicFrame macro="">
      <xdr:nvGraphicFramePr>
        <xdr:cNvPr id="4" name="Chart 3">
          <a:extLst>
            <a:ext uri="{FF2B5EF4-FFF2-40B4-BE49-F238E27FC236}">
              <a16:creationId xmlns:a16="http://schemas.microsoft.com/office/drawing/2014/main" id="{01DEE91C-10C4-C934-5B91-819D6B01C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423698</xdr:colOff>
      <xdr:row>43</xdr:row>
      <xdr:rowOff>103132</xdr:rowOff>
    </xdr:from>
    <xdr:to>
      <xdr:col>13</xdr:col>
      <xdr:colOff>108388</xdr:colOff>
      <xdr:row>57</xdr:row>
      <xdr:rowOff>179332</xdr:rowOff>
    </xdr:to>
    <xdr:graphicFrame macro="">
      <xdr:nvGraphicFramePr>
        <xdr:cNvPr id="5" name="Chart 4">
          <a:extLst>
            <a:ext uri="{FF2B5EF4-FFF2-40B4-BE49-F238E27FC236}">
              <a16:creationId xmlns:a16="http://schemas.microsoft.com/office/drawing/2014/main" id="{4E393B06-8539-6ECB-CC97-AB51AE3FD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544989</xdr:colOff>
      <xdr:row>3</xdr:row>
      <xdr:rowOff>1243</xdr:rowOff>
    </xdr:from>
    <xdr:to>
      <xdr:col>10</xdr:col>
      <xdr:colOff>240189</xdr:colOff>
      <xdr:row>17</xdr:row>
      <xdr:rowOff>77443</xdr:rowOff>
    </xdr:to>
    <xdr:graphicFrame macro="">
      <xdr:nvGraphicFramePr>
        <xdr:cNvPr id="2" name="Chart 1">
          <a:extLst>
            <a:ext uri="{FF2B5EF4-FFF2-40B4-BE49-F238E27FC236}">
              <a16:creationId xmlns:a16="http://schemas.microsoft.com/office/drawing/2014/main" id="{3200FF35-1E8E-45D8-B7D0-014583EA3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556321</xdr:colOff>
      <xdr:row>17</xdr:row>
      <xdr:rowOff>31625</xdr:rowOff>
    </xdr:from>
    <xdr:to>
      <xdr:col>10</xdr:col>
      <xdr:colOff>241996</xdr:colOff>
      <xdr:row>31</xdr:row>
      <xdr:rowOff>107825</xdr:rowOff>
    </xdr:to>
    <xdr:graphicFrame macro="">
      <xdr:nvGraphicFramePr>
        <xdr:cNvPr id="3" name="Chart 2">
          <a:extLst>
            <a:ext uri="{FF2B5EF4-FFF2-40B4-BE49-F238E27FC236}">
              <a16:creationId xmlns:a16="http://schemas.microsoft.com/office/drawing/2014/main" id="{9E1B1358-4109-4AAA-B62B-81EA97240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298169</xdr:colOff>
      <xdr:row>3</xdr:row>
      <xdr:rowOff>18585</xdr:rowOff>
    </xdr:from>
    <xdr:to>
      <xdr:col>17</xdr:col>
      <xdr:colOff>596493</xdr:colOff>
      <xdr:row>17</xdr:row>
      <xdr:rowOff>48539</xdr:rowOff>
    </xdr:to>
    <xdr:graphicFrame macro="">
      <xdr:nvGraphicFramePr>
        <xdr:cNvPr id="4" name="Chart 3">
          <a:extLst>
            <a:ext uri="{FF2B5EF4-FFF2-40B4-BE49-F238E27FC236}">
              <a16:creationId xmlns:a16="http://schemas.microsoft.com/office/drawing/2014/main" id="{192BDC5B-F9DE-496C-99BB-5A91E792E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289887</xdr:colOff>
      <xdr:row>17</xdr:row>
      <xdr:rowOff>18650</xdr:rowOff>
    </xdr:from>
    <xdr:to>
      <xdr:col>17</xdr:col>
      <xdr:colOff>585162</xdr:colOff>
      <xdr:row>31</xdr:row>
      <xdr:rowOff>94850</xdr:rowOff>
    </xdr:to>
    <xdr:graphicFrame macro="">
      <xdr:nvGraphicFramePr>
        <xdr:cNvPr id="5" name="Chart 4">
          <a:extLst>
            <a:ext uri="{FF2B5EF4-FFF2-40B4-BE49-F238E27FC236}">
              <a16:creationId xmlns:a16="http://schemas.microsoft.com/office/drawing/2014/main" id="{F403250D-DA38-4816-B83D-56C1B2508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xdr:row>
      <xdr:rowOff>13253</xdr:rowOff>
    </xdr:from>
    <xdr:to>
      <xdr:col>2</xdr:col>
      <xdr:colOff>455544</xdr:colOff>
      <xdr:row>12</xdr:row>
      <xdr:rowOff>82827</xdr:rowOff>
    </xdr:to>
    <mc:AlternateContent xmlns:mc="http://schemas.openxmlformats.org/markup-compatibility/2006">
      <mc:Choice xmlns:a14="http://schemas.microsoft.com/office/drawing/2010/main" Requires="a14">
        <xdr:graphicFrame macro="">
          <xdr:nvGraphicFramePr>
            <xdr:cNvPr id="6" name="Branch">
              <a:extLst>
                <a:ext uri="{FF2B5EF4-FFF2-40B4-BE49-F238E27FC236}">
                  <a16:creationId xmlns:a16="http://schemas.microsoft.com/office/drawing/2014/main" id="{E61CCE8A-7628-9068-3975-45CB626A6B0B}"/>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0" y="584753"/>
              <a:ext cx="1681370" cy="1784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133350</xdr:rowOff>
    </xdr:from>
    <xdr:to>
      <xdr:col>2</xdr:col>
      <xdr:colOff>444026</xdr:colOff>
      <xdr:row>23</xdr:row>
      <xdr:rowOff>57977</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4E885D99-C209-A33C-0730-EF0970BFACF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2419350"/>
              <a:ext cx="1669852" cy="2020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62948</xdr:rowOff>
    </xdr:from>
    <xdr:to>
      <xdr:col>2</xdr:col>
      <xdr:colOff>444026</xdr:colOff>
      <xdr:row>30</xdr:row>
      <xdr:rowOff>173935</xdr:rowOff>
    </xdr:to>
    <mc:AlternateContent xmlns:mc="http://schemas.openxmlformats.org/markup-compatibility/2006">
      <mc:Choice xmlns:a14="http://schemas.microsoft.com/office/drawing/2010/main" Requires="a14">
        <xdr:graphicFrame macro="">
          <xdr:nvGraphicFramePr>
            <xdr:cNvPr id="8" name="PaymentMode">
              <a:extLst>
                <a:ext uri="{FF2B5EF4-FFF2-40B4-BE49-F238E27FC236}">
                  <a16:creationId xmlns:a16="http://schemas.microsoft.com/office/drawing/2014/main" id="{16289C79-D6F6-DC6E-AFD6-72FF2E8BA181}"/>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0" y="4444448"/>
              <a:ext cx="1669852" cy="1444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136817</xdr:colOff>
      <xdr:row>0</xdr:row>
      <xdr:rowOff>104775</xdr:rowOff>
    </xdr:from>
    <xdr:to>
      <xdr:col>18</xdr:col>
      <xdr:colOff>129886</xdr:colOff>
      <xdr:row>5</xdr:row>
      <xdr:rowOff>114300</xdr:rowOff>
    </xdr:to>
    <xdr:sp macro="" textlink="">
      <xdr:nvSpPr>
        <xdr:cNvPr id="2" name="Rectangle: Rounded Corners 1">
          <a:extLst>
            <a:ext uri="{FF2B5EF4-FFF2-40B4-BE49-F238E27FC236}">
              <a16:creationId xmlns:a16="http://schemas.microsoft.com/office/drawing/2014/main" id="{5CD47263-C3AE-6630-3BEE-04F9F0DFA2E5}"/>
            </a:ext>
          </a:extLst>
        </xdr:cNvPr>
        <xdr:cNvSpPr/>
      </xdr:nvSpPr>
      <xdr:spPr>
        <a:xfrm>
          <a:off x="136817" y="104775"/>
          <a:ext cx="10903524" cy="962025"/>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a:solidFill>
                <a:schemeClr val="tx2"/>
              </a:solidFill>
            </a:rPr>
            <a:t>Sales</a:t>
          </a:r>
          <a:r>
            <a:rPr lang="en-IN" sz="4400" b="1" baseline="0">
              <a:solidFill>
                <a:schemeClr val="tx2"/>
              </a:solidFill>
            </a:rPr>
            <a:t> </a:t>
          </a:r>
          <a:r>
            <a:rPr lang="en-IN" sz="4400" b="1">
              <a:solidFill>
                <a:schemeClr val="tx2"/>
              </a:solidFill>
            </a:rPr>
            <a:t>DashBorad</a:t>
          </a:r>
        </a:p>
      </xdr:txBody>
    </xdr:sp>
    <xdr:clientData/>
  </xdr:twoCellAnchor>
  <xdr:twoCellAnchor>
    <xdr:from>
      <xdr:col>0</xdr:col>
      <xdr:colOff>70143</xdr:colOff>
      <xdr:row>6</xdr:row>
      <xdr:rowOff>123825</xdr:rowOff>
    </xdr:from>
    <xdr:to>
      <xdr:col>4</xdr:col>
      <xdr:colOff>12992</xdr:colOff>
      <xdr:row>13</xdr:row>
      <xdr:rowOff>0</xdr:rowOff>
    </xdr:to>
    <xdr:sp macro="" textlink="">
      <xdr:nvSpPr>
        <xdr:cNvPr id="4" name="Rectangle: Rounded Corners 3">
          <a:extLst>
            <a:ext uri="{FF2B5EF4-FFF2-40B4-BE49-F238E27FC236}">
              <a16:creationId xmlns:a16="http://schemas.microsoft.com/office/drawing/2014/main" id="{3F038BD1-EEED-C708-FA9D-781A4382D350}"/>
            </a:ext>
          </a:extLst>
        </xdr:cNvPr>
        <xdr:cNvSpPr/>
      </xdr:nvSpPr>
      <xdr:spPr>
        <a:xfrm>
          <a:off x="70143" y="1266825"/>
          <a:ext cx="2367394" cy="1209675"/>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i="0" u="none" strike="noStrike" baseline="0">
              <a:solidFill>
                <a:schemeClr val="accent1"/>
              </a:solidFill>
              <a:effectLst/>
              <a:latin typeface="+mn-lt"/>
              <a:ea typeface="+mn-ea"/>
              <a:cs typeface="+mn-cs"/>
            </a:rPr>
            <a:t>      </a:t>
          </a:r>
          <a:r>
            <a:rPr lang="en-IN" sz="1800">
              <a:solidFill>
                <a:schemeClr val="accent1"/>
              </a:solidFill>
              <a:effectLst/>
            </a:rPr>
            <a:t> </a:t>
          </a:r>
          <a:endParaRPr lang="en-IN" sz="1800">
            <a:solidFill>
              <a:schemeClr val="accent1"/>
            </a:solidFill>
          </a:endParaRPr>
        </a:p>
      </xdr:txBody>
    </xdr:sp>
    <xdr:clientData/>
  </xdr:twoCellAnchor>
  <xdr:twoCellAnchor>
    <xdr:from>
      <xdr:col>4</xdr:col>
      <xdr:colOff>295279</xdr:colOff>
      <xdr:row>6</xdr:row>
      <xdr:rowOff>123826</xdr:rowOff>
    </xdr:from>
    <xdr:to>
      <xdr:col>9</xdr:col>
      <xdr:colOff>419104</xdr:colOff>
      <xdr:row>12</xdr:row>
      <xdr:rowOff>180976</xdr:rowOff>
    </xdr:to>
    <xdr:sp macro="" textlink="">
      <xdr:nvSpPr>
        <xdr:cNvPr id="5" name="Rectangle: Rounded Corners 4">
          <a:extLst>
            <a:ext uri="{FF2B5EF4-FFF2-40B4-BE49-F238E27FC236}">
              <a16:creationId xmlns:a16="http://schemas.microsoft.com/office/drawing/2014/main" id="{4B028D4E-FCBD-78D6-61C8-955C062E87EE}"/>
            </a:ext>
          </a:extLst>
        </xdr:cNvPr>
        <xdr:cNvSpPr/>
      </xdr:nvSpPr>
      <xdr:spPr>
        <a:xfrm>
          <a:off x="2719824" y="1266826"/>
          <a:ext cx="3154507" cy="120015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174917</xdr:colOff>
      <xdr:row>7</xdr:row>
      <xdr:rowOff>9524</xdr:rowOff>
    </xdr:from>
    <xdr:ext cx="2019300" cy="342786"/>
    <xdr:sp macro="" textlink="">
      <xdr:nvSpPr>
        <xdr:cNvPr id="6" name="TextBox 5">
          <a:extLst>
            <a:ext uri="{FF2B5EF4-FFF2-40B4-BE49-F238E27FC236}">
              <a16:creationId xmlns:a16="http://schemas.microsoft.com/office/drawing/2014/main" id="{60A69E61-F74B-993F-7DAC-2A4265C25628}"/>
            </a:ext>
          </a:extLst>
        </xdr:cNvPr>
        <xdr:cNvSpPr txBox="1"/>
      </xdr:nvSpPr>
      <xdr:spPr>
        <a:xfrm>
          <a:off x="174917" y="1343024"/>
          <a:ext cx="20193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i="0" u="none" strike="noStrike">
              <a:solidFill>
                <a:schemeClr val="tx2"/>
              </a:solidFill>
              <a:effectLst/>
              <a:latin typeface="+mn-lt"/>
              <a:ea typeface="+mn-ea"/>
              <a:cs typeface="+mn-cs"/>
            </a:rPr>
            <a:t>Total Order Items:</a:t>
          </a:r>
          <a:endParaRPr lang="en-IN" sz="1600" b="1">
            <a:solidFill>
              <a:schemeClr val="tx2"/>
            </a:solidFill>
          </a:endParaRPr>
        </a:p>
      </xdr:txBody>
    </xdr:sp>
    <xdr:clientData/>
  </xdr:oneCellAnchor>
  <xdr:twoCellAnchor>
    <xdr:from>
      <xdr:col>0</xdr:col>
      <xdr:colOff>198315</xdr:colOff>
      <xdr:row>8</xdr:row>
      <xdr:rowOff>128495</xdr:rowOff>
    </xdr:from>
    <xdr:to>
      <xdr:col>3</xdr:col>
      <xdr:colOff>373078</xdr:colOff>
      <xdr:row>12</xdr:row>
      <xdr:rowOff>4670</xdr:rowOff>
    </xdr:to>
    <xdr:sp macro="" textlink="">
      <xdr:nvSpPr>
        <xdr:cNvPr id="8" name="TextBox 7">
          <a:extLst>
            <a:ext uri="{FF2B5EF4-FFF2-40B4-BE49-F238E27FC236}">
              <a16:creationId xmlns:a16="http://schemas.microsoft.com/office/drawing/2014/main" id="{1679510F-0BCD-ABB8-7B7D-945C46E345C5}"/>
            </a:ext>
          </a:extLst>
        </xdr:cNvPr>
        <xdr:cNvSpPr txBox="1"/>
      </xdr:nvSpPr>
      <xdr:spPr>
        <a:xfrm>
          <a:off x="198315" y="1652495"/>
          <a:ext cx="1993172" cy="6381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b="1" i="0" u="none" strike="noStrike">
              <a:solidFill>
                <a:schemeClr val="tx2"/>
              </a:solidFill>
              <a:effectLst/>
              <a:latin typeface="+mn-lt"/>
              <a:ea typeface="+mn-ea"/>
              <a:cs typeface="+mn-cs"/>
            </a:rPr>
            <a:t>2,855</a:t>
          </a:r>
          <a:r>
            <a:rPr lang="en-IN" sz="3600">
              <a:effectLst/>
            </a:rPr>
            <a:t> </a:t>
          </a:r>
          <a:endParaRPr lang="en-IN" sz="3600"/>
        </a:p>
      </xdr:txBody>
    </xdr:sp>
    <xdr:clientData/>
  </xdr:twoCellAnchor>
  <xdr:oneCellAnchor>
    <xdr:from>
      <xdr:col>4</xdr:col>
      <xdr:colOff>438154</xdr:colOff>
      <xdr:row>7</xdr:row>
      <xdr:rowOff>0</xdr:rowOff>
    </xdr:from>
    <xdr:ext cx="2019300" cy="342786"/>
    <xdr:sp macro="" textlink="">
      <xdr:nvSpPr>
        <xdr:cNvPr id="9" name="TextBox 8">
          <a:extLst>
            <a:ext uri="{FF2B5EF4-FFF2-40B4-BE49-F238E27FC236}">
              <a16:creationId xmlns:a16="http://schemas.microsoft.com/office/drawing/2014/main" id="{AC68DAA5-D7C9-49C4-97A5-F22F1F89A7C7}"/>
            </a:ext>
          </a:extLst>
        </xdr:cNvPr>
        <xdr:cNvSpPr txBox="1"/>
      </xdr:nvSpPr>
      <xdr:spPr>
        <a:xfrm>
          <a:off x="2862699" y="1333500"/>
          <a:ext cx="20193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i="0" u="none" strike="noStrike">
              <a:solidFill>
                <a:schemeClr val="tx2"/>
              </a:solidFill>
              <a:effectLst/>
              <a:latin typeface="+mn-lt"/>
              <a:ea typeface="+mn-ea"/>
              <a:cs typeface="+mn-cs"/>
            </a:rPr>
            <a:t>Total Sales:</a:t>
          </a:r>
          <a:endParaRPr lang="en-IN" sz="1600" b="1">
            <a:solidFill>
              <a:schemeClr val="tx2"/>
            </a:solidFill>
          </a:endParaRPr>
        </a:p>
      </xdr:txBody>
    </xdr:sp>
    <xdr:clientData/>
  </xdr:oneCellAnchor>
  <xdr:twoCellAnchor>
    <xdr:from>
      <xdr:col>4</xdr:col>
      <xdr:colOff>420746</xdr:colOff>
      <xdr:row>8</xdr:row>
      <xdr:rowOff>131051</xdr:rowOff>
    </xdr:from>
    <xdr:to>
      <xdr:col>9</xdr:col>
      <xdr:colOff>249296</xdr:colOff>
      <xdr:row>12</xdr:row>
      <xdr:rowOff>7226</xdr:rowOff>
    </xdr:to>
    <xdr:sp macro="" textlink="">
      <xdr:nvSpPr>
        <xdr:cNvPr id="11" name="TextBox 10">
          <a:extLst>
            <a:ext uri="{FF2B5EF4-FFF2-40B4-BE49-F238E27FC236}">
              <a16:creationId xmlns:a16="http://schemas.microsoft.com/office/drawing/2014/main" id="{6936B078-DD41-45C1-9433-8A52682EBB51}"/>
            </a:ext>
          </a:extLst>
        </xdr:cNvPr>
        <xdr:cNvSpPr txBox="1"/>
      </xdr:nvSpPr>
      <xdr:spPr>
        <a:xfrm>
          <a:off x="2845291" y="1655051"/>
          <a:ext cx="2859232" cy="6381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b="1" i="0" u="none" strike="noStrike">
              <a:solidFill>
                <a:schemeClr val="tx2"/>
              </a:solidFill>
              <a:effectLst/>
              <a:latin typeface="+mn-lt"/>
              <a:ea typeface="+mn-ea"/>
              <a:cs typeface="+mn-cs"/>
            </a:rPr>
            <a:t>₹ 3,67,51,900</a:t>
          </a:r>
          <a:r>
            <a:rPr lang="en-IN" sz="3600" b="1">
              <a:solidFill>
                <a:schemeClr val="tx2"/>
              </a:solidFill>
              <a:effectLst/>
            </a:rPr>
            <a:t>  </a:t>
          </a:r>
          <a:endParaRPr lang="en-IN" sz="3600" b="1">
            <a:solidFill>
              <a:schemeClr val="tx2"/>
            </a:solidFill>
          </a:endParaRPr>
        </a:p>
      </xdr:txBody>
    </xdr:sp>
    <xdr:clientData/>
  </xdr:twoCellAnchor>
  <xdr:twoCellAnchor>
    <xdr:from>
      <xdr:col>10</xdr:col>
      <xdr:colOff>117768</xdr:colOff>
      <xdr:row>6</xdr:row>
      <xdr:rowOff>123825</xdr:rowOff>
    </xdr:from>
    <xdr:to>
      <xdr:col>13</xdr:col>
      <xdr:colOff>590553</xdr:colOff>
      <xdr:row>12</xdr:row>
      <xdr:rowOff>152400</xdr:rowOff>
    </xdr:to>
    <xdr:sp macro="" textlink="">
      <xdr:nvSpPr>
        <xdr:cNvPr id="12" name="Rectangle: Rounded Corners 11">
          <a:extLst>
            <a:ext uri="{FF2B5EF4-FFF2-40B4-BE49-F238E27FC236}">
              <a16:creationId xmlns:a16="http://schemas.microsoft.com/office/drawing/2014/main" id="{8D729CF5-62B3-47A2-A0F7-52C7A1663C79}"/>
            </a:ext>
          </a:extLst>
        </xdr:cNvPr>
        <xdr:cNvSpPr/>
      </xdr:nvSpPr>
      <xdr:spPr>
        <a:xfrm>
          <a:off x="6179132" y="1266825"/>
          <a:ext cx="2291194" cy="1171575"/>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i="0" u="none" strike="noStrike" baseline="0">
              <a:solidFill>
                <a:schemeClr val="accent1"/>
              </a:solidFill>
              <a:effectLst/>
              <a:latin typeface="+mn-lt"/>
              <a:ea typeface="+mn-ea"/>
              <a:cs typeface="+mn-cs"/>
            </a:rPr>
            <a:t>      </a:t>
          </a:r>
          <a:r>
            <a:rPr lang="en-IN" sz="1800">
              <a:solidFill>
                <a:schemeClr val="accent1"/>
              </a:solidFill>
              <a:effectLst/>
            </a:rPr>
            <a:t> </a:t>
          </a:r>
          <a:endParaRPr lang="en-IN" sz="1800">
            <a:solidFill>
              <a:schemeClr val="accent1"/>
            </a:solidFill>
          </a:endParaRPr>
        </a:p>
      </xdr:txBody>
    </xdr:sp>
    <xdr:clientData/>
  </xdr:twoCellAnchor>
  <xdr:oneCellAnchor>
    <xdr:from>
      <xdr:col>10</xdr:col>
      <xdr:colOff>219078</xdr:colOff>
      <xdr:row>7</xdr:row>
      <xdr:rowOff>9524</xdr:rowOff>
    </xdr:from>
    <xdr:ext cx="2019300" cy="342786"/>
    <xdr:sp macro="" textlink="">
      <xdr:nvSpPr>
        <xdr:cNvPr id="13" name="TextBox 12">
          <a:extLst>
            <a:ext uri="{FF2B5EF4-FFF2-40B4-BE49-F238E27FC236}">
              <a16:creationId xmlns:a16="http://schemas.microsoft.com/office/drawing/2014/main" id="{7A7A68B9-6DED-40FE-9653-2BCF431DA978}"/>
            </a:ext>
          </a:extLst>
        </xdr:cNvPr>
        <xdr:cNvSpPr txBox="1"/>
      </xdr:nvSpPr>
      <xdr:spPr>
        <a:xfrm>
          <a:off x="6280442" y="1343024"/>
          <a:ext cx="20193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i="0" u="none" strike="noStrike">
              <a:solidFill>
                <a:schemeClr val="tx2"/>
              </a:solidFill>
              <a:effectLst/>
              <a:latin typeface="+mn-lt"/>
              <a:ea typeface="+mn-ea"/>
              <a:cs typeface="+mn-cs"/>
            </a:rPr>
            <a:t>Success rate</a:t>
          </a:r>
          <a:r>
            <a:rPr lang="en-IN" sz="1600">
              <a:solidFill>
                <a:schemeClr val="tx2"/>
              </a:solidFill>
              <a:effectLst/>
            </a:rPr>
            <a:t> </a:t>
          </a:r>
          <a:endParaRPr lang="en-IN" sz="1600" b="1">
            <a:solidFill>
              <a:schemeClr val="tx2"/>
            </a:solidFill>
          </a:endParaRPr>
        </a:p>
      </xdr:txBody>
    </xdr:sp>
    <xdr:clientData/>
  </xdr:oneCellAnchor>
  <xdr:twoCellAnchor>
    <xdr:from>
      <xdr:col>10</xdr:col>
      <xdr:colOff>209553</xdr:colOff>
      <xdr:row>8</xdr:row>
      <xdr:rowOff>133350</xdr:rowOff>
    </xdr:from>
    <xdr:to>
      <xdr:col>13</xdr:col>
      <xdr:colOff>381003</xdr:colOff>
      <xdr:row>12</xdr:row>
      <xdr:rowOff>9525</xdr:rowOff>
    </xdr:to>
    <xdr:sp macro="" textlink="">
      <xdr:nvSpPr>
        <xdr:cNvPr id="14" name="TextBox 13">
          <a:extLst>
            <a:ext uri="{FF2B5EF4-FFF2-40B4-BE49-F238E27FC236}">
              <a16:creationId xmlns:a16="http://schemas.microsoft.com/office/drawing/2014/main" id="{17BE5DAE-B4AB-4DFE-9D2E-2674713C6D60}"/>
            </a:ext>
          </a:extLst>
        </xdr:cNvPr>
        <xdr:cNvSpPr txBox="1"/>
      </xdr:nvSpPr>
      <xdr:spPr>
        <a:xfrm>
          <a:off x="6270917" y="1657350"/>
          <a:ext cx="1989859" cy="6381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0" b="1" i="0" u="none" strike="noStrike">
              <a:solidFill>
                <a:schemeClr val="tx2"/>
              </a:solidFill>
              <a:effectLst/>
              <a:latin typeface="+mn-lt"/>
              <a:ea typeface="+mn-ea"/>
              <a:cs typeface="+mn-cs"/>
            </a:rPr>
            <a:t>79.40%</a:t>
          </a:r>
          <a:r>
            <a:rPr lang="en-IN" sz="4000" b="1">
              <a:solidFill>
                <a:schemeClr val="tx2"/>
              </a:solidFill>
              <a:effectLst/>
            </a:rPr>
            <a:t> </a:t>
          </a:r>
          <a:endParaRPr lang="en-IN" sz="4000" b="1">
            <a:solidFill>
              <a:schemeClr val="tx2"/>
            </a:solidFill>
          </a:endParaRPr>
        </a:p>
      </xdr:txBody>
    </xdr:sp>
    <xdr:clientData/>
  </xdr:twoCellAnchor>
  <xdr:twoCellAnchor>
    <xdr:from>
      <xdr:col>0</xdr:col>
      <xdr:colOff>64757</xdr:colOff>
      <xdr:row>14</xdr:row>
      <xdr:rowOff>124240</xdr:rowOff>
    </xdr:from>
    <xdr:to>
      <xdr:col>10</xdr:col>
      <xdr:colOff>265047</xdr:colOff>
      <xdr:row>28</xdr:row>
      <xdr:rowOff>107674</xdr:rowOff>
    </xdr:to>
    <xdr:sp macro="" textlink="">
      <xdr:nvSpPr>
        <xdr:cNvPr id="21" name="Rectangle 20">
          <a:extLst>
            <a:ext uri="{FF2B5EF4-FFF2-40B4-BE49-F238E27FC236}">
              <a16:creationId xmlns:a16="http://schemas.microsoft.com/office/drawing/2014/main" id="{FBE12882-685E-E761-17A5-706BCAA03DA2}"/>
            </a:ext>
          </a:extLst>
        </xdr:cNvPr>
        <xdr:cNvSpPr/>
      </xdr:nvSpPr>
      <xdr:spPr>
        <a:xfrm>
          <a:off x="64757" y="2791240"/>
          <a:ext cx="6261654" cy="2650434"/>
        </a:xfrm>
        <a:prstGeom prst="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48191</xdr:colOff>
      <xdr:row>14</xdr:row>
      <xdr:rowOff>107675</xdr:rowOff>
    </xdr:from>
    <xdr:to>
      <xdr:col>10</xdr:col>
      <xdr:colOff>306460</xdr:colOff>
      <xdr:row>28</xdr:row>
      <xdr:rowOff>115957</xdr:rowOff>
    </xdr:to>
    <xdr:graphicFrame macro="">
      <xdr:nvGraphicFramePr>
        <xdr:cNvPr id="22" name="Chart 21">
          <a:extLst>
            <a:ext uri="{FF2B5EF4-FFF2-40B4-BE49-F238E27FC236}">
              <a16:creationId xmlns:a16="http://schemas.microsoft.com/office/drawing/2014/main" id="{835F8118-94B7-4B58-8057-890583B54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385899</xdr:colOff>
      <xdr:row>14</xdr:row>
      <xdr:rowOff>140804</xdr:rowOff>
    </xdr:from>
    <xdr:to>
      <xdr:col>18</xdr:col>
      <xdr:colOff>410746</xdr:colOff>
      <xdr:row>28</xdr:row>
      <xdr:rowOff>99391</xdr:rowOff>
    </xdr:to>
    <xdr:sp macro="" textlink="">
      <xdr:nvSpPr>
        <xdr:cNvPr id="23" name="Rectangle 22">
          <a:extLst>
            <a:ext uri="{FF2B5EF4-FFF2-40B4-BE49-F238E27FC236}">
              <a16:creationId xmlns:a16="http://schemas.microsoft.com/office/drawing/2014/main" id="{06E8BA5C-80D4-87A6-BB06-7B0FBADA9E0A}"/>
            </a:ext>
          </a:extLst>
        </xdr:cNvPr>
        <xdr:cNvSpPr/>
      </xdr:nvSpPr>
      <xdr:spPr>
        <a:xfrm>
          <a:off x="6447263" y="2807804"/>
          <a:ext cx="4873938" cy="2625587"/>
        </a:xfrm>
        <a:prstGeom prst="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540897</xdr:colOff>
      <xdr:row>15</xdr:row>
      <xdr:rowOff>28576</xdr:rowOff>
    </xdr:from>
    <xdr:to>
      <xdr:col>26</xdr:col>
      <xdr:colOff>565745</xdr:colOff>
      <xdr:row>28</xdr:row>
      <xdr:rowOff>85726</xdr:rowOff>
    </xdr:to>
    <xdr:sp macro="" textlink="">
      <xdr:nvSpPr>
        <xdr:cNvPr id="24" name="Rectangle 23">
          <a:extLst>
            <a:ext uri="{FF2B5EF4-FFF2-40B4-BE49-F238E27FC236}">
              <a16:creationId xmlns:a16="http://schemas.microsoft.com/office/drawing/2014/main" id="{A5DB0D4A-61ED-09BB-9188-ACD3F4538689}"/>
            </a:ext>
          </a:extLst>
        </xdr:cNvPr>
        <xdr:cNvSpPr/>
      </xdr:nvSpPr>
      <xdr:spPr>
        <a:xfrm>
          <a:off x="11451352" y="2886076"/>
          <a:ext cx="4873938" cy="2533650"/>
        </a:xfrm>
        <a:prstGeom prst="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601510</xdr:colOff>
      <xdr:row>0</xdr:row>
      <xdr:rowOff>83654</xdr:rowOff>
    </xdr:from>
    <xdr:to>
      <xdr:col>26</xdr:col>
      <xdr:colOff>571501</xdr:colOff>
      <xdr:row>14</xdr:row>
      <xdr:rowOff>133350</xdr:rowOff>
    </xdr:to>
    <xdr:sp macro="" textlink="">
      <xdr:nvSpPr>
        <xdr:cNvPr id="25" name="Rectangle 24">
          <a:extLst>
            <a:ext uri="{FF2B5EF4-FFF2-40B4-BE49-F238E27FC236}">
              <a16:creationId xmlns:a16="http://schemas.microsoft.com/office/drawing/2014/main" id="{ED2B5CFC-D473-9A5E-E882-ADC229A998B1}"/>
            </a:ext>
          </a:extLst>
        </xdr:cNvPr>
        <xdr:cNvSpPr/>
      </xdr:nvSpPr>
      <xdr:spPr>
        <a:xfrm>
          <a:off x="11511965" y="83654"/>
          <a:ext cx="4819081" cy="2716696"/>
        </a:xfrm>
        <a:prstGeom prst="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266704</xdr:colOff>
      <xdr:row>6</xdr:row>
      <xdr:rowOff>123825</xdr:rowOff>
    </xdr:from>
    <xdr:to>
      <xdr:col>18</xdr:col>
      <xdr:colOff>136817</xdr:colOff>
      <xdr:row>12</xdr:row>
      <xdr:rowOff>152400</xdr:rowOff>
    </xdr:to>
    <xdr:sp macro="" textlink="">
      <xdr:nvSpPr>
        <xdr:cNvPr id="26" name="Rectangle: Rounded Corners 25">
          <a:extLst>
            <a:ext uri="{FF2B5EF4-FFF2-40B4-BE49-F238E27FC236}">
              <a16:creationId xmlns:a16="http://schemas.microsoft.com/office/drawing/2014/main" id="{A58B932D-7AF6-0209-F5EB-F67AABD9DB19}"/>
            </a:ext>
          </a:extLst>
        </xdr:cNvPr>
        <xdr:cNvSpPr/>
      </xdr:nvSpPr>
      <xdr:spPr>
        <a:xfrm>
          <a:off x="8752613" y="1266825"/>
          <a:ext cx="2294659" cy="1171575"/>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i="0" u="none" strike="noStrike" baseline="0">
              <a:solidFill>
                <a:schemeClr val="accent1"/>
              </a:solidFill>
              <a:effectLst/>
              <a:latin typeface="+mn-lt"/>
              <a:ea typeface="+mn-ea"/>
              <a:cs typeface="+mn-cs"/>
            </a:rPr>
            <a:t>      </a:t>
          </a:r>
          <a:r>
            <a:rPr lang="en-IN" sz="1800">
              <a:solidFill>
                <a:schemeClr val="accent1"/>
              </a:solidFill>
              <a:effectLst/>
            </a:rPr>
            <a:t> </a:t>
          </a:r>
          <a:endParaRPr lang="en-IN" sz="1800">
            <a:solidFill>
              <a:schemeClr val="accent1"/>
            </a:solidFill>
          </a:endParaRPr>
        </a:p>
      </xdr:txBody>
    </xdr:sp>
    <xdr:clientData/>
  </xdr:twoCellAnchor>
  <xdr:oneCellAnchor>
    <xdr:from>
      <xdr:col>14</xdr:col>
      <xdr:colOff>371478</xdr:colOff>
      <xdr:row>7</xdr:row>
      <xdr:rowOff>9524</xdr:rowOff>
    </xdr:from>
    <xdr:ext cx="2019300" cy="342786"/>
    <xdr:sp macro="" textlink="">
      <xdr:nvSpPr>
        <xdr:cNvPr id="27" name="TextBox 26">
          <a:extLst>
            <a:ext uri="{FF2B5EF4-FFF2-40B4-BE49-F238E27FC236}">
              <a16:creationId xmlns:a16="http://schemas.microsoft.com/office/drawing/2014/main" id="{03D5FE8C-84DC-9292-0A37-E660C1A7E81D}"/>
            </a:ext>
          </a:extLst>
        </xdr:cNvPr>
        <xdr:cNvSpPr txBox="1"/>
      </xdr:nvSpPr>
      <xdr:spPr>
        <a:xfrm>
          <a:off x="8857387" y="1343024"/>
          <a:ext cx="20193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i="0" u="none" strike="noStrike">
              <a:solidFill>
                <a:schemeClr val="tx2"/>
              </a:solidFill>
              <a:effectLst/>
              <a:latin typeface="+mn-lt"/>
              <a:ea typeface="+mn-ea"/>
              <a:cs typeface="+mn-cs"/>
            </a:rPr>
            <a:t>Avg Order Value</a:t>
          </a:r>
          <a:r>
            <a:rPr lang="en-IN" sz="1600">
              <a:solidFill>
                <a:schemeClr val="tx2"/>
              </a:solidFill>
              <a:effectLst/>
            </a:rPr>
            <a:t> </a:t>
          </a:r>
          <a:endParaRPr lang="en-IN" sz="1600" b="1">
            <a:solidFill>
              <a:schemeClr val="tx2"/>
            </a:solidFill>
          </a:endParaRPr>
        </a:p>
      </xdr:txBody>
    </xdr:sp>
    <xdr:clientData/>
  </xdr:oneCellAnchor>
  <xdr:twoCellAnchor>
    <xdr:from>
      <xdr:col>14</xdr:col>
      <xdr:colOff>361953</xdr:colOff>
      <xdr:row>8</xdr:row>
      <xdr:rowOff>133350</xdr:rowOff>
    </xdr:from>
    <xdr:to>
      <xdr:col>17</xdr:col>
      <xdr:colOff>533404</xdr:colOff>
      <xdr:row>12</xdr:row>
      <xdr:rowOff>9525</xdr:rowOff>
    </xdr:to>
    <xdr:sp macro="" textlink="">
      <xdr:nvSpPr>
        <xdr:cNvPr id="28" name="TextBox 27">
          <a:extLst>
            <a:ext uri="{FF2B5EF4-FFF2-40B4-BE49-F238E27FC236}">
              <a16:creationId xmlns:a16="http://schemas.microsoft.com/office/drawing/2014/main" id="{2E276529-48CB-90AD-0ED2-1C51D6FE0923}"/>
            </a:ext>
          </a:extLst>
        </xdr:cNvPr>
        <xdr:cNvSpPr txBox="1"/>
      </xdr:nvSpPr>
      <xdr:spPr>
        <a:xfrm>
          <a:off x="8847862" y="1657350"/>
          <a:ext cx="1989860" cy="6381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0" b="1" i="0" u="none" strike="noStrike">
              <a:solidFill>
                <a:schemeClr val="tx2"/>
              </a:solidFill>
              <a:effectLst/>
              <a:latin typeface="+mn-lt"/>
              <a:ea typeface="+mn-ea"/>
              <a:cs typeface="+mn-cs"/>
            </a:rPr>
            <a:t>₹ 73,504</a:t>
          </a:r>
          <a:r>
            <a:rPr lang="en-IN" sz="4000" b="1">
              <a:solidFill>
                <a:schemeClr val="tx2"/>
              </a:solidFill>
              <a:effectLst/>
            </a:rPr>
            <a:t> </a:t>
          </a:r>
          <a:endParaRPr lang="en-IN" sz="4000" b="1">
            <a:solidFill>
              <a:schemeClr val="tx2"/>
            </a:solidFill>
          </a:endParaRPr>
        </a:p>
      </xdr:txBody>
    </xdr:sp>
    <xdr:clientData/>
  </xdr:twoCellAnchor>
  <xdr:twoCellAnchor>
    <xdr:from>
      <xdr:col>18</xdr:col>
      <xdr:colOff>523579</xdr:colOff>
      <xdr:row>0</xdr:row>
      <xdr:rowOff>83653</xdr:rowOff>
    </xdr:from>
    <xdr:to>
      <xdr:col>26</xdr:col>
      <xdr:colOff>583628</xdr:colOff>
      <xdr:row>14</xdr:row>
      <xdr:rowOff>142874</xdr:rowOff>
    </xdr:to>
    <xdr:graphicFrame macro="">
      <xdr:nvGraphicFramePr>
        <xdr:cNvPr id="29" name="Chart 28">
          <a:extLst>
            <a:ext uri="{FF2B5EF4-FFF2-40B4-BE49-F238E27FC236}">
              <a16:creationId xmlns:a16="http://schemas.microsoft.com/office/drawing/2014/main" id="{4BA3F419-C2A6-482F-A8F7-721BFDBDA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381000</xdr:colOff>
      <xdr:row>14</xdr:row>
      <xdr:rowOff>140804</xdr:rowOff>
    </xdr:from>
    <xdr:to>
      <xdr:col>18</xdr:col>
      <xdr:colOff>417372</xdr:colOff>
      <xdr:row>28</xdr:row>
      <xdr:rowOff>123825</xdr:rowOff>
    </xdr:to>
    <xdr:graphicFrame macro="">
      <xdr:nvGraphicFramePr>
        <xdr:cNvPr id="30" name="Chart 29">
          <a:extLst>
            <a:ext uri="{FF2B5EF4-FFF2-40B4-BE49-F238E27FC236}">
              <a16:creationId xmlns:a16="http://schemas.microsoft.com/office/drawing/2014/main" id="{90B5B26E-23BA-4DDF-BDB3-A0F5D83D6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540897</xdr:colOff>
      <xdr:row>15</xdr:row>
      <xdr:rowOff>28576</xdr:rowOff>
    </xdr:from>
    <xdr:to>
      <xdr:col>26</xdr:col>
      <xdr:colOff>588819</xdr:colOff>
      <xdr:row>28</xdr:row>
      <xdr:rowOff>129886</xdr:rowOff>
    </xdr:to>
    <xdr:graphicFrame macro="">
      <xdr:nvGraphicFramePr>
        <xdr:cNvPr id="31" name="Chart 30">
          <a:extLst>
            <a:ext uri="{FF2B5EF4-FFF2-40B4-BE49-F238E27FC236}">
              <a16:creationId xmlns:a16="http://schemas.microsoft.com/office/drawing/2014/main" id="{0AF5EBFD-53FF-4F67-B734-E0FB769D5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gelani" refreshedDate="46185.785238773147" createdVersion="8" refreshedVersion="8" minRefreshableVersion="3" recordCount="500" xr:uid="{566A8A3E-6668-4F7B-A50E-D1AC6862E484}">
  <cacheSource type="worksheet">
    <worksheetSource ref="A1:P501" sheet="Orders"/>
  </cacheSource>
  <cacheFields count="16">
    <cacheField name="OrderID" numFmtId="0">
      <sharedItems containsSemiMixedTypes="0" containsString="0" containsNumber="1" containsInteger="1" minValue="1" maxValue="500"/>
    </cacheField>
    <cacheField name="OrderDate" numFmtId="164">
      <sharedItems containsSemiMixedTypes="0" containsNonDate="0" containsDate="1" containsString="0" minDate="2025-01-01T00:00:00" maxDate="2026-01-01T00:00:00"/>
    </cacheField>
    <cacheField name="Branch" numFmtId="0">
      <sharedItems count="5">
        <s v="Rajkot"/>
        <s v="Surat"/>
        <s v="Mumbai"/>
        <s v="Vadodara"/>
        <s v="Ahmedabad"/>
      </sharedItems>
    </cacheField>
    <cacheField name="Employee" numFmtId="0">
      <sharedItems/>
    </cacheField>
    <cacheField name="Customer" numFmtId="0">
      <sharedItems/>
    </cacheField>
    <cacheField name="Product" numFmtId="0">
      <sharedItems count="6">
        <s v="Laptop"/>
        <s v="Keyboard"/>
        <s v="Chair"/>
        <s v="Desk"/>
        <s v="Mouse"/>
        <s v="Printer"/>
      </sharedItems>
    </cacheField>
    <cacheField name="Category" numFmtId="0">
      <sharedItems/>
    </cacheField>
    <cacheField name="Quantity" numFmtId="0">
      <sharedItems containsSemiMixedTypes="0" containsString="0" containsNumber="1" containsInteger="1" minValue="1" maxValue="10"/>
    </cacheField>
    <cacheField name="UnitPrice" numFmtId="165">
      <sharedItems containsSemiMixedTypes="0" containsString="0" containsNumber="1" containsInteger="1" minValue="500" maxValue="55000"/>
    </cacheField>
    <cacheField name="SalesAmount" numFmtId="165">
      <sharedItems containsSemiMixedTypes="0" containsString="0" containsNumber="1" containsInteger="1" minValue="500" maxValue="550000"/>
    </cacheField>
    <cacheField name="Sale Value" numFmtId="0">
      <sharedItems/>
    </cacheField>
    <cacheField name="PaymentMode" numFmtId="0">
      <sharedItems count="4">
        <s v="Card"/>
        <s v="Cash"/>
        <s v="Net Banking"/>
        <s v="UPI"/>
      </sharedItems>
    </cacheField>
    <cacheField name="OrderStatus" numFmtId="0">
      <sharedItems/>
    </cacheField>
    <cacheField name="Month" numFmtId="0">
      <sharedItems count="12">
        <s v="April"/>
        <s v="September"/>
        <s v="March"/>
        <s v="January"/>
        <s v="October"/>
        <s v="July"/>
        <s v="June"/>
        <s v="November"/>
        <s v="February"/>
        <s v="May"/>
        <s v="December"/>
        <s v="August"/>
      </sharedItems>
    </cacheField>
    <cacheField name="Quarter" numFmtId="0">
      <sharedItems/>
    </cacheField>
    <cacheField name="Year" numFmtId="0">
      <sharedItems containsSemiMixedTypes="0" containsString="0" containsNumber="1" containsInteger="1" minValue="2025" maxValue="2025"/>
    </cacheField>
  </cacheFields>
  <extLst>
    <ext xmlns:x14="http://schemas.microsoft.com/office/spreadsheetml/2009/9/main" uri="{725AE2AE-9491-48be-B2B4-4EB974FC3084}">
      <x14:pivotCacheDefinition pivotCacheId="610623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5-04-11T00:00:00"/>
    <x v="0"/>
    <s v="EMP005"/>
    <s v="CUST8013"/>
    <x v="0"/>
    <s v="Electronics"/>
    <n v="8"/>
    <n v="55000"/>
    <n v="440000"/>
    <s v="High Value"/>
    <x v="0"/>
    <s v="Cancelled"/>
    <x v="0"/>
    <s v="Q2"/>
    <n v="2025"/>
  </r>
  <r>
    <n v="2"/>
    <d v="2025-09-28T00:00:00"/>
    <x v="1"/>
    <s v="EMP001"/>
    <s v="CUST5514"/>
    <x v="1"/>
    <s v="Electronics"/>
    <n v="7"/>
    <n v="1200"/>
    <n v="8400"/>
    <s v="Low Value"/>
    <x v="1"/>
    <s v="Completed"/>
    <x v="1"/>
    <s v="Q3"/>
    <n v="2025"/>
  </r>
  <r>
    <n v="3"/>
    <d v="2025-03-23T00:00:00"/>
    <x v="2"/>
    <s v="EMP009"/>
    <s v="CUST1459"/>
    <x v="2"/>
    <s v="Furniture"/>
    <n v="2"/>
    <n v="3500"/>
    <n v="7000"/>
    <s v="Low Value"/>
    <x v="0"/>
    <s v="Completed"/>
    <x v="2"/>
    <s v="Q1"/>
    <n v="2025"/>
  </r>
  <r>
    <n v="4"/>
    <d v="2025-01-22T00:00:00"/>
    <x v="0"/>
    <s v="EMP012"/>
    <s v="CUST2819"/>
    <x v="3"/>
    <s v="Furniture"/>
    <n v="4"/>
    <n v="7000"/>
    <n v="28000"/>
    <s v="Low Value"/>
    <x v="2"/>
    <s v="Completed"/>
    <x v="3"/>
    <s v="Q1"/>
    <n v="2025"/>
  </r>
  <r>
    <n v="5"/>
    <d v="2025-10-15T00:00:00"/>
    <x v="3"/>
    <s v="EMP012"/>
    <s v="CUST9295"/>
    <x v="2"/>
    <s v="Furniture"/>
    <n v="2"/>
    <n v="3500"/>
    <n v="7000"/>
    <s v="Low Value"/>
    <x v="2"/>
    <s v="Completed"/>
    <x v="4"/>
    <s v="Q4"/>
    <n v="2025"/>
  </r>
  <r>
    <n v="6"/>
    <d v="2025-01-15T00:00:00"/>
    <x v="2"/>
    <s v="EMP002"/>
    <s v="CUST2040"/>
    <x v="2"/>
    <s v="Furniture"/>
    <n v="9"/>
    <n v="3500"/>
    <n v="31500"/>
    <s v="Medium Value"/>
    <x v="1"/>
    <s v="Completed"/>
    <x v="3"/>
    <s v="Q1"/>
    <n v="2025"/>
  </r>
  <r>
    <n v="7"/>
    <d v="2025-03-07T00:00:00"/>
    <x v="0"/>
    <s v="EMP010"/>
    <s v="CUST3973"/>
    <x v="4"/>
    <s v="Electronics"/>
    <n v="9"/>
    <n v="500"/>
    <n v="4500"/>
    <s v="Low Value"/>
    <x v="1"/>
    <s v="Completed"/>
    <x v="2"/>
    <s v="Q1"/>
    <n v="2025"/>
  </r>
  <r>
    <n v="8"/>
    <d v="2025-07-14T00:00:00"/>
    <x v="1"/>
    <s v="EMP008"/>
    <s v="CUST1773"/>
    <x v="4"/>
    <s v="Electronics"/>
    <n v="2"/>
    <n v="500"/>
    <n v="1000"/>
    <s v="Low Value"/>
    <x v="3"/>
    <s v="Completed"/>
    <x v="5"/>
    <s v="Q3"/>
    <n v="2025"/>
  </r>
  <r>
    <n v="9"/>
    <d v="2025-01-05T00:00:00"/>
    <x v="3"/>
    <s v="EMP011"/>
    <s v="CUST9540"/>
    <x v="0"/>
    <s v="Electronics"/>
    <n v="10"/>
    <n v="55000"/>
    <n v="550000"/>
    <s v="High Value"/>
    <x v="2"/>
    <s v="Completed"/>
    <x v="3"/>
    <s v="Q1"/>
    <n v="2025"/>
  </r>
  <r>
    <n v="10"/>
    <d v="2025-03-10T00:00:00"/>
    <x v="2"/>
    <s v="EMP009"/>
    <s v="CUST8280"/>
    <x v="5"/>
    <s v="Electronics"/>
    <n v="6"/>
    <n v="9000"/>
    <n v="54000"/>
    <s v="Medium Value"/>
    <x v="0"/>
    <s v="Completed"/>
    <x v="2"/>
    <s v="Q1"/>
    <n v="2025"/>
  </r>
  <r>
    <n v="11"/>
    <d v="2025-06-22T00:00:00"/>
    <x v="4"/>
    <s v="EMP014"/>
    <s v="CUST3782"/>
    <x v="2"/>
    <s v="Furniture"/>
    <n v="4"/>
    <n v="3500"/>
    <n v="14000"/>
    <s v="Low Value"/>
    <x v="2"/>
    <s v="Cancelled"/>
    <x v="6"/>
    <s v="Q2"/>
    <n v="2025"/>
  </r>
  <r>
    <n v="12"/>
    <d v="2025-11-27T00:00:00"/>
    <x v="1"/>
    <s v="EMP014"/>
    <s v="CUST5373"/>
    <x v="4"/>
    <s v="Electronics"/>
    <n v="7"/>
    <n v="500"/>
    <n v="3500"/>
    <s v="Low Value"/>
    <x v="3"/>
    <s v="Completed"/>
    <x v="7"/>
    <s v="Q4"/>
    <n v="2025"/>
  </r>
  <r>
    <n v="13"/>
    <d v="2025-03-10T00:00:00"/>
    <x v="1"/>
    <s v="EMP015"/>
    <s v="CUST7357"/>
    <x v="2"/>
    <s v="Furniture"/>
    <n v="1"/>
    <n v="3500"/>
    <n v="3500"/>
    <s v="Low Value"/>
    <x v="2"/>
    <s v="Pending"/>
    <x v="2"/>
    <s v="Q1"/>
    <n v="2025"/>
  </r>
  <r>
    <n v="14"/>
    <d v="2025-03-16T00:00:00"/>
    <x v="0"/>
    <s v="EMP019"/>
    <s v="CUST2469"/>
    <x v="2"/>
    <s v="Furniture"/>
    <n v="7"/>
    <n v="3500"/>
    <n v="24500"/>
    <s v="Low Value"/>
    <x v="0"/>
    <s v="Completed"/>
    <x v="2"/>
    <s v="Q1"/>
    <n v="2025"/>
  </r>
  <r>
    <n v="15"/>
    <d v="2025-02-12T00:00:00"/>
    <x v="1"/>
    <s v="EMP014"/>
    <s v="CUST8246"/>
    <x v="2"/>
    <s v="Furniture"/>
    <n v="3"/>
    <n v="3500"/>
    <n v="10500"/>
    <s v="Low Value"/>
    <x v="3"/>
    <s v="Pending"/>
    <x v="8"/>
    <s v="Q1"/>
    <n v="2025"/>
  </r>
  <r>
    <n v="16"/>
    <d v="2025-05-08T00:00:00"/>
    <x v="0"/>
    <s v="EMP014"/>
    <s v="CUST7889"/>
    <x v="5"/>
    <s v="Electronics"/>
    <n v="7"/>
    <n v="9000"/>
    <n v="63000"/>
    <s v="Medium Value"/>
    <x v="3"/>
    <s v="Completed"/>
    <x v="9"/>
    <s v="Q2"/>
    <n v="2025"/>
  </r>
  <r>
    <n v="17"/>
    <d v="2025-10-10T00:00:00"/>
    <x v="3"/>
    <s v="EMP017"/>
    <s v="CUST7317"/>
    <x v="0"/>
    <s v="Electronics"/>
    <n v="8"/>
    <n v="55000"/>
    <n v="440000"/>
    <s v="High Value"/>
    <x v="1"/>
    <s v="Completed"/>
    <x v="4"/>
    <s v="Q4"/>
    <n v="2025"/>
  </r>
  <r>
    <n v="18"/>
    <d v="2025-07-15T00:00:00"/>
    <x v="0"/>
    <s v="EMP001"/>
    <s v="CUST7178"/>
    <x v="5"/>
    <s v="Electronics"/>
    <n v="8"/>
    <n v="9000"/>
    <n v="72000"/>
    <s v="Medium Value"/>
    <x v="2"/>
    <s v="Completed"/>
    <x v="5"/>
    <s v="Q3"/>
    <n v="2025"/>
  </r>
  <r>
    <n v="19"/>
    <d v="2025-10-16T00:00:00"/>
    <x v="2"/>
    <s v="EMP010"/>
    <s v="CUST9231"/>
    <x v="4"/>
    <s v="Electronics"/>
    <n v="6"/>
    <n v="500"/>
    <n v="3000"/>
    <s v="Low Value"/>
    <x v="3"/>
    <s v="Pending"/>
    <x v="4"/>
    <s v="Q4"/>
    <n v="2025"/>
  </r>
  <r>
    <n v="20"/>
    <d v="2025-06-08T00:00:00"/>
    <x v="2"/>
    <s v="EMP019"/>
    <s v="CUST1759"/>
    <x v="5"/>
    <s v="Electronics"/>
    <n v="10"/>
    <n v="9000"/>
    <n v="90000"/>
    <s v="Medium Value"/>
    <x v="0"/>
    <s v="Completed"/>
    <x v="6"/>
    <s v="Q2"/>
    <n v="2025"/>
  </r>
  <r>
    <n v="21"/>
    <d v="2025-02-10T00:00:00"/>
    <x v="4"/>
    <s v="EMP003"/>
    <s v="CUST7261"/>
    <x v="4"/>
    <s v="Electronics"/>
    <n v="5"/>
    <n v="500"/>
    <n v="2500"/>
    <s v="Low Value"/>
    <x v="0"/>
    <s v="Completed"/>
    <x v="8"/>
    <s v="Q1"/>
    <n v="2025"/>
  </r>
  <r>
    <n v="22"/>
    <d v="2025-09-13T00:00:00"/>
    <x v="3"/>
    <s v="EMP007"/>
    <s v="CUST7476"/>
    <x v="0"/>
    <s v="Electronics"/>
    <n v="7"/>
    <n v="55000"/>
    <n v="385000"/>
    <s v="High Value"/>
    <x v="1"/>
    <s v="Pending"/>
    <x v="1"/>
    <s v="Q3"/>
    <n v="2025"/>
  </r>
  <r>
    <n v="23"/>
    <d v="2025-04-30T00:00:00"/>
    <x v="4"/>
    <s v="EMP017"/>
    <s v="CUST2251"/>
    <x v="0"/>
    <s v="Electronics"/>
    <n v="6"/>
    <n v="55000"/>
    <n v="330000"/>
    <s v="High Value"/>
    <x v="2"/>
    <s v="Cancelled"/>
    <x v="0"/>
    <s v="Q2"/>
    <n v="2025"/>
  </r>
  <r>
    <n v="24"/>
    <d v="2025-02-11T00:00:00"/>
    <x v="2"/>
    <s v="EMP001"/>
    <s v="CUST2140"/>
    <x v="1"/>
    <s v="Electronics"/>
    <n v="9"/>
    <n v="1200"/>
    <n v="10800"/>
    <s v="Low Value"/>
    <x v="0"/>
    <s v="Completed"/>
    <x v="8"/>
    <s v="Q1"/>
    <n v="2025"/>
  </r>
  <r>
    <n v="25"/>
    <d v="2025-05-10T00:00:00"/>
    <x v="0"/>
    <s v="EMP012"/>
    <s v="CUST5515"/>
    <x v="2"/>
    <s v="Furniture"/>
    <n v="4"/>
    <n v="3500"/>
    <n v="14000"/>
    <s v="Low Value"/>
    <x v="2"/>
    <s v="Completed"/>
    <x v="9"/>
    <s v="Q2"/>
    <n v="2025"/>
  </r>
  <r>
    <n v="26"/>
    <d v="2025-07-30T00:00:00"/>
    <x v="1"/>
    <s v="EMP013"/>
    <s v="CUST5460"/>
    <x v="3"/>
    <s v="Furniture"/>
    <n v="9"/>
    <n v="7000"/>
    <n v="63000"/>
    <s v="Medium Value"/>
    <x v="0"/>
    <s v="Completed"/>
    <x v="5"/>
    <s v="Q3"/>
    <n v="2025"/>
  </r>
  <r>
    <n v="27"/>
    <d v="2025-12-22T00:00:00"/>
    <x v="3"/>
    <s v="EMP018"/>
    <s v="CUST5073"/>
    <x v="5"/>
    <s v="Electronics"/>
    <n v="1"/>
    <n v="9000"/>
    <n v="9000"/>
    <s v="Low Value"/>
    <x v="2"/>
    <s v="Completed"/>
    <x v="10"/>
    <s v="Q4"/>
    <n v="2025"/>
  </r>
  <r>
    <n v="28"/>
    <d v="2025-02-22T00:00:00"/>
    <x v="0"/>
    <s v="EMP012"/>
    <s v="CUST4638"/>
    <x v="0"/>
    <s v="Electronics"/>
    <n v="8"/>
    <n v="55000"/>
    <n v="440000"/>
    <s v="High Value"/>
    <x v="3"/>
    <s v="Completed"/>
    <x v="8"/>
    <s v="Q1"/>
    <n v="2025"/>
  </r>
  <r>
    <n v="29"/>
    <d v="2025-06-28T00:00:00"/>
    <x v="3"/>
    <s v="EMP017"/>
    <s v="CUST4365"/>
    <x v="4"/>
    <s v="Electronics"/>
    <n v="3"/>
    <n v="500"/>
    <n v="1500"/>
    <s v="Low Value"/>
    <x v="0"/>
    <s v="Completed"/>
    <x v="6"/>
    <s v="Q2"/>
    <n v="2025"/>
  </r>
  <r>
    <n v="30"/>
    <d v="2025-04-23T00:00:00"/>
    <x v="2"/>
    <s v="EMP001"/>
    <s v="CUST9402"/>
    <x v="2"/>
    <s v="Furniture"/>
    <n v="6"/>
    <n v="3500"/>
    <n v="21000"/>
    <s v="Low Value"/>
    <x v="0"/>
    <s v="Completed"/>
    <x v="0"/>
    <s v="Q2"/>
    <n v="2025"/>
  </r>
  <r>
    <n v="31"/>
    <d v="2025-12-24T00:00:00"/>
    <x v="0"/>
    <s v="EMP011"/>
    <s v="CUST1611"/>
    <x v="2"/>
    <s v="Furniture"/>
    <n v="1"/>
    <n v="3500"/>
    <n v="3500"/>
    <s v="Low Value"/>
    <x v="2"/>
    <s v="Completed"/>
    <x v="10"/>
    <s v="Q4"/>
    <n v="2025"/>
  </r>
  <r>
    <n v="32"/>
    <d v="2025-11-22T00:00:00"/>
    <x v="2"/>
    <s v="EMP018"/>
    <s v="CUST4399"/>
    <x v="4"/>
    <s v="Electronics"/>
    <n v="9"/>
    <n v="500"/>
    <n v="4500"/>
    <s v="Low Value"/>
    <x v="3"/>
    <s v="Completed"/>
    <x v="7"/>
    <s v="Q4"/>
    <n v="2025"/>
  </r>
  <r>
    <n v="33"/>
    <d v="2025-01-07T00:00:00"/>
    <x v="1"/>
    <s v="EMP013"/>
    <s v="CUST4156"/>
    <x v="1"/>
    <s v="Electronics"/>
    <n v="4"/>
    <n v="1200"/>
    <n v="4800"/>
    <s v="Low Value"/>
    <x v="2"/>
    <s v="Completed"/>
    <x v="3"/>
    <s v="Q1"/>
    <n v="2025"/>
  </r>
  <r>
    <n v="34"/>
    <d v="2025-07-01T00:00:00"/>
    <x v="4"/>
    <s v="EMP018"/>
    <s v="CUST6990"/>
    <x v="4"/>
    <s v="Electronics"/>
    <n v="8"/>
    <n v="500"/>
    <n v="4000"/>
    <s v="Low Value"/>
    <x v="0"/>
    <s v="Completed"/>
    <x v="5"/>
    <s v="Q3"/>
    <n v="2025"/>
  </r>
  <r>
    <n v="35"/>
    <d v="2025-02-21T00:00:00"/>
    <x v="0"/>
    <s v="EMP005"/>
    <s v="CUST6333"/>
    <x v="5"/>
    <s v="Electronics"/>
    <n v="4"/>
    <n v="9000"/>
    <n v="36000"/>
    <s v="Medium Value"/>
    <x v="2"/>
    <s v="Completed"/>
    <x v="8"/>
    <s v="Q1"/>
    <n v="2025"/>
  </r>
  <r>
    <n v="36"/>
    <d v="2025-04-18T00:00:00"/>
    <x v="2"/>
    <s v="EMP008"/>
    <s v="CUST3321"/>
    <x v="5"/>
    <s v="Electronics"/>
    <n v="6"/>
    <n v="9000"/>
    <n v="54000"/>
    <s v="Medium Value"/>
    <x v="3"/>
    <s v="Completed"/>
    <x v="0"/>
    <s v="Q2"/>
    <n v="2025"/>
  </r>
  <r>
    <n v="37"/>
    <d v="2025-11-08T00:00:00"/>
    <x v="0"/>
    <s v="EMP011"/>
    <s v="CUST5158"/>
    <x v="3"/>
    <s v="Furniture"/>
    <n v="7"/>
    <n v="7000"/>
    <n v="49000"/>
    <s v="Medium Value"/>
    <x v="1"/>
    <s v="Completed"/>
    <x v="7"/>
    <s v="Q4"/>
    <n v="2025"/>
  </r>
  <r>
    <n v="38"/>
    <d v="2025-03-16T00:00:00"/>
    <x v="1"/>
    <s v="EMP020"/>
    <s v="CUST7765"/>
    <x v="2"/>
    <s v="Furniture"/>
    <n v="9"/>
    <n v="3500"/>
    <n v="31500"/>
    <s v="Medium Value"/>
    <x v="1"/>
    <s v="Completed"/>
    <x v="2"/>
    <s v="Q1"/>
    <n v="2025"/>
  </r>
  <r>
    <n v="39"/>
    <d v="2025-02-12T00:00:00"/>
    <x v="1"/>
    <s v="EMP011"/>
    <s v="CUST5709"/>
    <x v="3"/>
    <s v="Furniture"/>
    <n v="4"/>
    <n v="7000"/>
    <n v="28000"/>
    <s v="Low Value"/>
    <x v="1"/>
    <s v="Completed"/>
    <x v="8"/>
    <s v="Q1"/>
    <n v="2025"/>
  </r>
  <r>
    <n v="40"/>
    <d v="2025-05-16T00:00:00"/>
    <x v="1"/>
    <s v="EMP003"/>
    <s v="CUST6980"/>
    <x v="4"/>
    <s v="Electronics"/>
    <n v="5"/>
    <n v="500"/>
    <n v="2500"/>
    <s v="Low Value"/>
    <x v="0"/>
    <s v="Completed"/>
    <x v="9"/>
    <s v="Q2"/>
    <n v="2025"/>
  </r>
  <r>
    <n v="41"/>
    <d v="2025-02-07T00:00:00"/>
    <x v="1"/>
    <s v="EMP007"/>
    <s v="CUST6989"/>
    <x v="0"/>
    <s v="Electronics"/>
    <n v="6"/>
    <n v="55000"/>
    <n v="330000"/>
    <s v="High Value"/>
    <x v="2"/>
    <s v="Completed"/>
    <x v="8"/>
    <s v="Q1"/>
    <n v="2025"/>
  </r>
  <r>
    <n v="42"/>
    <d v="2025-08-08T00:00:00"/>
    <x v="0"/>
    <s v="EMP020"/>
    <s v="CUST3698"/>
    <x v="5"/>
    <s v="Electronics"/>
    <n v="2"/>
    <n v="9000"/>
    <n v="18000"/>
    <s v="Low Value"/>
    <x v="0"/>
    <s v="Completed"/>
    <x v="11"/>
    <s v="Q3"/>
    <n v="2025"/>
  </r>
  <r>
    <n v="43"/>
    <d v="2025-03-19T00:00:00"/>
    <x v="2"/>
    <s v="EMP015"/>
    <s v="CUST3909"/>
    <x v="5"/>
    <s v="Electronics"/>
    <n v="9"/>
    <n v="9000"/>
    <n v="81000"/>
    <s v="Medium Value"/>
    <x v="2"/>
    <s v="Completed"/>
    <x v="2"/>
    <s v="Q1"/>
    <n v="2025"/>
  </r>
  <r>
    <n v="44"/>
    <d v="2025-11-06T00:00:00"/>
    <x v="2"/>
    <s v="EMP016"/>
    <s v="CUST6792"/>
    <x v="5"/>
    <s v="Electronics"/>
    <n v="7"/>
    <n v="9000"/>
    <n v="63000"/>
    <s v="Medium Value"/>
    <x v="3"/>
    <s v="Completed"/>
    <x v="7"/>
    <s v="Q4"/>
    <n v="2025"/>
  </r>
  <r>
    <n v="45"/>
    <d v="2025-12-16T00:00:00"/>
    <x v="4"/>
    <s v="EMP009"/>
    <s v="CUST1511"/>
    <x v="0"/>
    <s v="Electronics"/>
    <n v="8"/>
    <n v="55000"/>
    <n v="440000"/>
    <s v="High Value"/>
    <x v="3"/>
    <s v="Completed"/>
    <x v="10"/>
    <s v="Q4"/>
    <n v="2025"/>
  </r>
  <r>
    <n v="46"/>
    <d v="2025-07-11T00:00:00"/>
    <x v="4"/>
    <s v="EMP018"/>
    <s v="CUST7095"/>
    <x v="1"/>
    <s v="Electronics"/>
    <n v="2"/>
    <n v="1200"/>
    <n v="2400"/>
    <s v="Low Value"/>
    <x v="1"/>
    <s v="Completed"/>
    <x v="5"/>
    <s v="Q3"/>
    <n v="2025"/>
  </r>
  <r>
    <n v="47"/>
    <d v="2025-11-01T00:00:00"/>
    <x v="0"/>
    <s v="EMP016"/>
    <s v="CUST1770"/>
    <x v="3"/>
    <s v="Furniture"/>
    <n v="9"/>
    <n v="7000"/>
    <n v="63000"/>
    <s v="Medium Value"/>
    <x v="3"/>
    <s v="Completed"/>
    <x v="7"/>
    <s v="Q4"/>
    <n v="2025"/>
  </r>
  <r>
    <n v="48"/>
    <d v="2025-03-08T00:00:00"/>
    <x v="3"/>
    <s v="EMP006"/>
    <s v="CUST9884"/>
    <x v="2"/>
    <s v="Furniture"/>
    <n v="4"/>
    <n v="3500"/>
    <n v="14000"/>
    <s v="Low Value"/>
    <x v="1"/>
    <s v="Completed"/>
    <x v="2"/>
    <s v="Q1"/>
    <n v="2025"/>
  </r>
  <r>
    <n v="49"/>
    <d v="2025-03-14T00:00:00"/>
    <x v="1"/>
    <s v="EMP018"/>
    <s v="CUST4139"/>
    <x v="1"/>
    <s v="Electronics"/>
    <n v="6"/>
    <n v="1200"/>
    <n v="7200"/>
    <s v="Low Value"/>
    <x v="3"/>
    <s v="Pending"/>
    <x v="2"/>
    <s v="Q1"/>
    <n v="2025"/>
  </r>
  <r>
    <n v="50"/>
    <d v="2025-12-27T00:00:00"/>
    <x v="4"/>
    <s v="EMP002"/>
    <s v="CUST8077"/>
    <x v="5"/>
    <s v="Electronics"/>
    <n v="6"/>
    <n v="9000"/>
    <n v="54000"/>
    <s v="Medium Value"/>
    <x v="2"/>
    <s v="Completed"/>
    <x v="10"/>
    <s v="Q4"/>
    <n v="2025"/>
  </r>
  <r>
    <n v="51"/>
    <d v="2025-11-25T00:00:00"/>
    <x v="1"/>
    <s v="EMP013"/>
    <s v="CUST4133"/>
    <x v="1"/>
    <s v="Electronics"/>
    <n v="7"/>
    <n v="1200"/>
    <n v="8400"/>
    <s v="Low Value"/>
    <x v="3"/>
    <s v="Completed"/>
    <x v="7"/>
    <s v="Q4"/>
    <n v="2025"/>
  </r>
  <r>
    <n v="52"/>
    <d v="2025-06-10T00:00:00"/>
    <x v="2"/>
    <s v="EMP005"/>
    <s v="CUST3309"/>
    <x v="4"/>
    <s v="Electronics"/>
    <n v="9"/>
    <n v="500"/>
    <n v="4500"/>
    <s v="Low Value"/>
    <x v="3"/>
    <s v="Completed"/>
    <x v="6"/>
    <s v="Q2"/>
    <n v="2025"/>
  </r>
  <r>
    <n v="53"/>
    <d v="2025-06-22T00:00:00"/>
    <x v="0"/>
    <s v="EMP019"/>
    <s v="CUST6090"/>
    <x v="1"/>
    <s v="Electronics"/>
    <n v="9"/>
    <n v="1200"/>
    <n v="10800"/>
    <s v="Low Value"/>
    <x v="0"/>
    <s v="Completed"/>
    <x v="6"/>
    <s v="Q2"/>
    <n v="2025"/>
  </r>
  <r>
    <n v="54"/>
    <d v="2025-02-20T00:00:00"/>
    <x v="2"/>
    <s v="EMP015"/>
    <s v="CUST4276"/>
    <x v="5"/>
    <s v="Electronics"/>
    <n v="7"/>
    <n v="9000"/>
    <n v="63000"/>
    <s v="Medium Value"/>
    <x v="3"/>
    <s v="Completed"/>
    <x v="8"/>
    <s v="Q1"/>
    <n v="2025"/>
  </r>
  <r>
    <n v="55"/>
    <d v="2025-03-02T00:00:00"/>
    <x v="4"/>
    <s v="EMP012"/>
    <s v="CUST6508"/>
    <x v="2"/>
    <s v="Furniture"/>
    <n v="10"/>
    <n v="3500"/>
    <n v="35000"/>
    <s v="Medium Value"/>
    <x v="2"/>
    <s v="Completed"/>
    <x v="2"/>
    <s v="Q1"/>
    <n v="2025"/>
  </r>
  <r>
    <n v="56"/>
    <d v="2025-09-18T00:00:00"/>
    <x v="4"/>
    <s v="EMP014"/>
    <s v="CUST6499"/>
    <x v="3"/>
    <s v="Furniture"/>
    <n v="7"/>
    <n v="7000"/>
    <n v="49000"/>
    <s v="Medium Value"/>
    <x v="1"/>
    <s v="Completed"/>
    <x v="1"/>
    <s v="Q3"/>
    <n v="2025"/>
  </r>
  <r>
    <n v="57"/>
    <d v="2025-08-09T00:00:00"/>
    <x v="1"/>
    <s v="EMP005"/>
    <s v="CUST3240"/>
    <x v="1"/>
    <s v="Electronics"/>
    <n v="4"/>
    <n v="1200"/>
    <n v="4800"/>
    <s v="Low Value"/>
    <x v="0"/>
    <s v="Completed"/>
    <x v="11"/>
    <s v="Q3"/>
    <n v="2025"/>
  </r>
  <r>
    <n v="58"/>
    <d v="2025-09-29T00:00:00"/>
    <x v="1"/>
    <s v="EMP008"/>
    <s v="CUST6885"/>
    <x v="0"/>
    <s v="Electronics"/>
    <n v="4"/>
    <n v="55000"/>
    <n v="220000"/>
    <s v="High Value"/>
    <x v="0"/>
    <s v="Completed"/>
    <x v="1"/>
    <s v="Q3"/>
    <n v="2025"/>
  </r>
  <r>
    <n v="59"/>
    <d v="2025-01-12T00:00:00"/>
    <x v="0"/>
    <s v="EMP009"/>
    <s v="CUST7957"/>
    <x v="2"/>
    <s v="Furniture"/>
    <n v="3"/>
    <n v="3500"/>
    <n v="10500"/>
    <s v="Low Value"/>
    <x v="1"/>
    <s v="Completed"/>
    <x v="3"/>
    <s v="Q1"/>
    <n v="2025"/>
  </r>
  <r>
    <n v="60"/>
    <d v="2025-11-19T00:00:00"/>
    <x v="1"/>
    <s v="EMP013"/>
    <s v="CUST6370"/>
    <x v="2"/>
    <s v="Furniture"/>
    <n v="8"/>
    <n v="3500"/>
    <n v="28000"/>
    <s v="Low Value"/>
    <x v="0"/>
    <s v="Completed"/>
    <x v="7"/>
    <s v="Q4"/>
    <n v="2025"/>
  </r>
  <r>
    <n v="61"/>
    <d v="2025-03-23T00:00:00"/>
    <x v="3"/>
    <s v="EMP002"/>
    <s v="CUST4015"/>
    <x v="1"/>
    <s v="Electronics"/>
    <n v="3"/>
    <n v="1200"/>
    <n v="3600"/>
    <s v="Low Value"/>
    <x v="0"/>
    <s v="Completed"/>
    <x v="2"/>
    <s v="Q1"/>
    <n v="2025"/>
  </r>
  <r>
    <n v="62"/>
    <d v="2025-01-29T00:00:00"/>
    <x v="2"/>
    <s v="EMP007"/>
    <s v="CUST8763"/>
    <x v="1"/>
    <s v="Electronics"/>
    <n v="5"/>
    <n v="1200"/>
    <n v="6000"/>
    <s v="Low Value"/>
    <x v="1"/>
    <s v="Completed"/>
    <x v="3"/>
    <s v="Q1"/>
    <n v="2025"/>
  </r>
  <r>
    <n v="63"/>
    <d v="2025-04-22T00:00:00"/>
    <x v="4"/>
    <s v="EMP010"/>
    <s v="CUST3375"/>
    <x v="5"/>
    <s v="Electronics"/>
    <n v="6"/>
    <n v="9000"/>
    <n v="54000"/>
    <s v="Medium Value"/>
    <x v="3"/>
    <s v="Completed"/>
    <x v="0"/>
    <s v="Q2"/>
    <n v="2025"/>
  </r>
  <r>
    <n v="64"/>
    <d v="2025-07-15T00:00:00"/>
    <x v="1"/>
    <s v="EMP005"/>
    <s v="CUST4580"/>
    <x v="2"/>
    <s v="Furniture"/>
    <n v="8"/>
    <n v="3500"/>
    <n v="28000"/>
    <s v="Low Value"/>
    <x v="0"/>
    <s v="Completed"/>
    <x v="5"/>
    <s v="Q3"/>
    <n v="2025"/>
  </r>
  <r>
    <n v="65"/>
    <d v="2025-10-22T00:00:00"/>
    <x v="2"/>
    <s v="EMP020"/>
    <s v="CUST4739"/>
    <x v="1"/>
    <s v="Electronics"/>
    <n v="9"/>
    <n v="1200"/>
    <n v="10800"/>
    <s v="Low Value"/>
    <x v="0"/>
    <s v="Completed"/>
    <x v="4"/>
    <s v="Q4"/>
    <n v="2025"/>
  </r>
  <r>
    <n v="66"/>
    <d v="2025-11-28T00:00:00"/>
    <x v="1"/>
    <s v="EMP006"/>
    <s v="CUST2543"/>
    <x v="5"/>
    <s v="Electronics"/>
    <n v="5"/>
    <n v="9000"/>
    <n v="45000"/>
    <s v="Medium Value"/>
    <x v="1"/>
    <s v="Completed"/>
    <x v="7"/>
    <s v="Q4"/>
    <n v="2025"/>
  </r>
  <r>
    <n v="67"/>
    <d v="2025-07-29T00:00:00"/>
    <x v="4"/>
    <s v="EMP002"/>
    <s v="CUST7470"/>
    <x v="0"/>
    <s v="Electronics"/>
    <n v="4"/>
    <n v="55000"/>
    <n v="220000"/>
    <s v="High Value"/>
    <x v="3"/>
    <s v="Completed"/>
    <x v="5"/>
    <s v="Q3"/>
    <n v="2025"/>
  </r>
  <r>
    <n v="68"/>
    <d v="2025-08-21T00:00:00"/>
    <x v="2"/>
    <s v="EMP012"/>
    <s v="CUST1436"/>
    <x v="0"/>
    <s v="Electronics"/>
    <n v="9"/>
    <n v="55000"/>
    <n v="495000"/>
    <s v="High Value"/>
    <x v="3"/>
    <s v="Completed"/>
    <x v="11"/>
    <s v="Q3"/>
    <n v="2025"/>
  </r>
  <r>
    <n v="69"/>
    <d v="2025-04-23T00:00:00"/>
    <x v="4"/>
    <s v="EMP002"/>
    <s v="CUST3806"/>
    <x v="1"/>
    <s v="Electronics"/>
    <n v="7"/>
    <n v="1200"/>
    <n v="8400"/>
    <s v="Low Value"/>
    <x v="3"/>
    <s v="Completed"/>
    <x v="0"/>
    <s v="Q2"/>
    <n v="2025"/>
  </r>
  <r>
    <n v="70"/>
    <d v="2025-02-12T00:00:00"/>
    <x v="3"/>
    <s v="EMP006"/>
    <s v="CUST6589"/>
    <x v="4"/>
    <s v="Electronics"/>
    <n v="5"/>
    <n v="500"/>
    <n v="2500"/>
    <s v="Low Value"/>
    <x v="2"/>
    <s v="Completed"/>
    <x v="8"/>
    <s v="Q1"/>
    <n v="2025"/>
  </r>
  <r>
    <n v="71"/>
    <d v="2025-06-26T00:00:00"/>
    <x v="1"/>
    <s v="EMP004"/>
    <s v="CUST1744"/>
    <x v="3"/>
    <s v="Furniture"/>
    <n v="5"/>
    <n v="7000"/>
    <n v="35000"/>
    <s v="Medium Value"/>
    <x v="3"/>
    <s v="Completed"/>
    <x v="6"/>
    <s v="Q2"/>
    <n v="2025"/>
  </r>
  <r>
    <n v="72"/>
    <d v="2025-04-19T00:00:00"/>
    <x v="1"/>
    <s v="EMP008"/>
    <s v="CUST1306"/>
    <x v="1"/>
    <s v="Electronics"/>
    <n v="7"/>
    <n v="1200"/>
    <n v="8400"/>
    <s v="Low Value"/>
    <x v="0"/>
    <s v="Completed"/>
    <x v="0"/>
    <s v="Q2"/>
    <n v="2025"/>
  </r>
  <r>
    <n v="73"/>
    <d v="2025-04-30T00:00:00"/>
    <x v="0"/>
    <s v="EMP012"/>
    <s v="CUST4717"/>
    <x v="1"/>
    <s v="Electronics"/>
    <n v="7"/>
    <n v="1200"/>
    <n v="8400"/>
    <s v="Low Value"/>
    <x v="1"/>
    <s v="Completed"/>
    <x v="0"/>
    <s v="Q2"/>
    <n v="2025"/>
  </r>
  <r>
    <n v="74"/>
    <d v="2025-10-18T00:00:00"/>
    <x v="2"/>
    <s v="EMP008"/>
    <s v="CUST8707"/>
    <x v="3"/>
    <s v="Furniture"/>
    <n v="3"/>
    <n v="7000"/>
    <n v="21000"/>
    <s v="Low Value"/>
    <x v="3"/>
    <s v="Completed"/>
    <x v="4"/>
    <s v="Q4"/>
    <n v="2025"/>
  </r>
  <r>
    <n v="75"/>
    <d v="2025-02-03T00:00:00"/>
    <x v="1"/>
    <s v="EMP005"/>
    <s v="CUST9649"/>
    <x v="5"/>
    <s v="Electronics"/>
    <n v="6"/>
    <n v="9000"/>
    <n v="54000"/>
    <s v="Medium Value"/>
    <x v="3"/>
    <s v="Completed"/>
    <x v="8"/>
    <s v="Q1"/>
    <n v="2025"/>
  </r>
  <r>
    <n v="76"/>
    <d v="2025-05-31T00:00:00"/>
    <x v="3"/>
    <s v="EMP018"/>
    <s v="CUST9473"/>
    <x v="3"/>
    <s v="Furniture"/>
    <n v="4"/>
    <n v="7000"/>
    <n v="28000"/>
    <s v="Low Value"/>
    <x v="0"/>
    <s v="Completed"/>
    <x v="9"/>
    <s v="Q2"/>
    <n v="2025"/>
  </r>
  <r>
    <n v="77"/>
    <d v="2025-06-27T00:00:00"/>
    <x v="4"/>
    <s v="EMP018"/>
    <s v="CUST7400"/>
    <x v="5"/>
    <s v="Electronics"/>
    <n v="5"/>
    <n v="9000"/>
    <n v="45000"/>
    <s v="Medium Value"/>
    <x v="3"/>
    <s v="Completed"/>
    <x v="6"/>
    <s v="Q2"/>
    <n v="2025"/>
  </r>
  <r>
    <n v="78"/>
    <d v="2025-02-22T00:00:00"/>
    <x v="3"/>
    <s v="EMP008"/>
    <s v="CUST3232"/>
    <x v="5"/>
    <s v="Electronics"/>
    <n v="9"/>
    <n v="9000"/>
    <n v="81000"/>
    <s v="Medium Value"/>
    <x v="3"/>
    <s v="Pending"/>
    <x v="8"/>
    <s v="Q1"/>
    <n v="2025"/>
  </r>
  <r>
    <n v="79"/>
    <d v="2025-10-06T00:00:00"/>
    <x v="4"/>
    <s v="EMP016"/>
    <s v="CUST5879"/>
    <x v="4"/>
    <s v="Electronics"/>
    <n v="6"/>
    <n v="500"/>
    <n v="3000"/>
    <s v="Low Value"/>
    <x v="3"/>
    <s v="Completed"/>
    <x v="4"/>
    <s v="Q4"/>
    <n v="2025"/>
  </r>
  <r>
    <n v="80"/>
    <d v="2025-05-22T00:00:00"/>
    <x v="3"/>
    <s v="EMP015"/>
    <s v="CUST3319"/>
    <x v="0"/>
    <s v="Electronics"/>
    <n v="7"/>
    <n v="55000"/>
    <n v="385000"/>
    <s v="High Value"/>
    <x v="0"/>
    <s v="Completed"/>
    <x v="9"/>
    <s v="Q2"/>
    <n v="2025"/>
  </r>
  <r>
    <n v="81"/>
    <d v="2025-03-16T00:00:00"/>
    <x v="4"/>
    <s v="EMP018"/>
    <s v="CUST8255"/>
    <x v="1"/>
    <s v="Electronics"/>
    <n v="10"/>
    <n v="1200"/>
    <n v="12000"/>
    <s v="Low Value"/>
    <x v="0"/>
    <s v="Completed"/>
    <x v="2"/>
    <s v="Q1"/>
    <n v="2025"/>
  </r>
  <r>
    <n v="82"/>
    <d v="2025-06-29T00:00:00"/>
    <x v="0"/>
    <s v="EMP018"/>
    <s v="CUST9706"/>
    <x v="3"/>
    <s v="Furniture"/>
    <n v="6"/>
    <n v="7000"/>
    <n v="42000"/>
    <s v="Medium Value"/>
    <x v="3"/>
    <s v="Completed"/>
    <x v="6"/>
    <s v="Q2"/>
    <n v="2025"/>
  </r>
  <r>
    <n v="83"/>
    <d v="2025-09-23T00:00:00"/>
    <x v="4"/>
    <s v="EMP017"/>
    <s v="CUST8194"/>
    <x v="1"/>
    <s v="Electronics"/>
    <n v="2"/>
    <n v="1200"/>
    <n v="2400"/>
    <s v="Low Value"/>
    <x v="3"/>
    <s v="Cancelled"/>
    <x v="1"/>
    <s v="Q3"/>
    <n v="2025"/>
  </r>
  <r>
    <n v="84"/>
    <d v="2025-07-18T00:00:00"/>
    <x v="1"/>
    <s v="EMP006"/>
    <s v="CUST6941"/>
    <x v="2"/>
    <s v="Furniture"/>
    <n v="10"/>
    <n v="3500"/>
    <n v="35000"/>
    <s v="Medium Value"/>
    <x v="2"/>
    <s v="Cancelled"/>
    <x v="5"/>
    <s v="Q3"/>
    <n v="2025"/>
  </r>
  <r>
    <n v="85"/>
    <d v="2025-10-14T00:00:00"/>
    <x v="3"/>
    <s v="EMP010"/>
    <s v="CUST8195"/>
    <x v="4"/>
    <s v="Electronics"/>
    <n v="9"/>
    <n v="500"/>
    <n v="4500"/>
    <s v="Low Value"/>
    <x v="2"/>
    <s v="Completed"/>
    <x v="4"/>
    <s v="Q4"/>
    <n v="2025"/>
  </r>
  <r>
    <n v="86"/>
    <d v="2025-09-26T00:00:00"/>
    <x v="4"/>
    <s v="EMP013"/>
    <s v="CUST8206"/>
    <x v="0"/>
    <s v="Electronics"/>
    <n v="3"/>
    <n v="55000"/>
    <n v="165000"/>
    <s v="High Value"/>
    <x v="0"/>
    <s v="Completed"/>
    <x v="1"/>
    <s v="Q3"/>
    <n v="2025"/>
  </r>
  <r>
    <n v="87"/>
    <d v="2025-02-25T00:00:00"/>
    <x v="0"/>
    <s v="EMP003"/>
    <s v="CUST1120"/>
    <x v="5"/>
    <s v="Electronics"/>
    <n v="3"/>
    <n v="9000"/>
    <n v="27000"/>
    <s v="Low Value"/>
    <x v="2"/>
    <s v="Completed"/>
    <x v="8"/>
    <s v="Q1"/>
    <n v="2025"/>
  </r>
  <r>
    <n v="88"/>
    <d v="2025-03-16T00:00:00"/>
    <x v="4"/>
    <s v="EMP002"/>
    <s v="CUST4189"/>
    <x v="4"/>
    <s v="Electronics"/>
    <n v="9"/>
    <n v="500"/>
    <n v="4500"/>
    <s v="Low Value"/>
    <x v="2"/>
    <s v="Completed"/>
    <x v="2"/>
    <s v="Q1"/>
    <n v="2025"/>
  </r>
  <r>
    <n v="89"/>
    <d v="2025-03-29T00:00:00"/>
    <x v="0"/>
    <s v="EMP010"/>
    <s v="CUST2162"/>
    <x v="2"/>
    <s v="Furniture"/>
    <n v="10"/>
    <n v="3500"/>
    <n v="35000"/>
    <s v="Medium Value"/>
    <x v="3"/>
    <s v="Completed"/>
    <x v="2"/>
    <s v="Q1"/>
    <n v="2025"/>
  </r>
  <r>
    <n v="90"/>
    <d v="2025-06-30T00:00:00"/>
    <x v="2"/>
    <s v="EMP005"/>
    <s v="CUST9993"/>
    <x v="0"/>
    <s v="Electronics"/>
    <n v="10"/>
    <n v="55000"/>
    <n v="550000"/>
    <s v="High Value"/>
    <x v="3"/>
    <s v="Completed"/>
    <x v="6"/>
    <s v="Q2"/>
    <n v="2025"/>
  </r>
  <r>
    <n v="91"/>
    <d v="2025-07-07T00:00:00"/>
    <x v="0"/>
    <s v="EMP020"/>
    <s v="CUST1595"/>
    <x v="2"/>
    <s v="Furniture"/>
    <n v="4"/>
    <n v="3500"/>
    <n v="14000"/>
    <s v="Low Value"/>
    <x v="0"/>
    <s v="Completed"/>
    <x v="5"/>
    <s v="Q3"/>
    <n v="2025"/>
  </r>
  <r>
    <n v="92"/>
    <d v="2025-07-29T00:00:00"/>
    <x v="1"/>
    <s v="EMP011"/>
    <s v="CUST6452"/>
    <x v="4"/>
    <s v="Electronics"/>
    <n v="1"/>
    <n v="500"/>
    <n v="500"/>
    <s v="Low Value"/>
    <x v="0"/>
    <s v="Completed"/>
    <x v="5"/>
    <s v="Q3"/>
    <n v="2025"/>
  </r>
  <r>
    <n v="93"/>
    <d v="2025-07-19T00:00:00"/>
    <x v="0"/>
    <s v="EMP010"/>
    <s v="CUST1622"/>
    <x v="5"/>
    <s v="Electronics"/>
    <n v="6"/>
    <n v="9000"/>
    <n v="54000"/>
    <s v="Medium Value"/>
    <x v="0"/>
    <s v="Completed"/>
    <x v="5"/>
    <s v="Q3"/>
    <n v="2025"/>
  </r>
  <r>
    <n v="94"/>
    <d v="2025-10-13T00:00:00"/>
    <x v="3"/>
    <s v="EMP001"/>
    <s v="CUST9935"/>
    <x v="2"/>
    <s v="Furniture"/>
    <n v="7"/>
    <n v="3500"/>
    <n v="24500"/>
    <s v="Low Value"/>
    <x v="1"/>
    <s v="Completed"/>
    <x v="4"/>
    <s v="Q4"/>
    <n v="2025"/>
  </r>
  <r>
    <n v="95"/>
    <d v="2025-11-06T00:00:00"/>
    <x v="2"/>
    <s v="EMP004"/>
    <s v="CUST3483"/>
    <x v="4"/>
    <s v="Electronics"/>
    <n v="7"/>
    <n v="500"/>
    <n v="3500"/>
    <s v="Low Value"/>
    <x v="3"/>
    <s v="Completed"/>
    <x v="7"/>
    <s v="Q4"/>
    <n v="2025"/>
  </r>
  <r>
    <n v="96"/>
    <d v="2025-06-08T00:00:00"/>
    <x v="4"/>
    <s v="EMP003"/>
    <s v="CUST8809"/>
    <x v="2"/>
    <s v="Furniture"/>
    <n v="2"/>
    <n v="3500"/>
    <n v="7000"/>
    <s v="Low Value"/>
    <x v="2"/>
    <s v="Pending"/>
    <x v="6"/>
    <s v="Q2"/>
    <n v="2025"/>
  </r>
  <r>
    <n v="97"/>
    <d v="2025-05-27T00:00:00"/>
    <x v="2"/>
    <s v="EMP009"/>
    <s v="CUST2902"/>
    <x v="1"/>
    <s v="Electronics"/>
    <n v="2"/>
    <n v="1200"/>
    <n v="2400"/>
    <s v="Low Value"/>
    <x v="1"/>
    <s v="Completed"/>
    <x v="9"/>
    <s v="Q2"/>
    <n v="2025"/>
  </r>
  <r>
    <n v="98"/>
    <d v="2025-02-28T00:00:00"/>
    <x v="4"/>
    <s v="EMP010"/>
    <s v="CUST4530"/>
    <x v="1"/>
    <s v="Electronics"/>
    <n v="2"/>
    <n v="1200"/>
    <n v="2400"/>
    <s v="Low Value"/>
    <x v="0"/>
    <s v="Completed"/>
    <x v="8"/>
    <s v="Q1"/>
    <n v="2025"/>
  </r>
  <r>
    <n v="99"/>
    <d v="2025-08-09T00:00:00"/>
    <x v="1"/>
    <s v="EMP019"/>
    <s v="CUST4285"/>
    <x v="3"/>
    <s v="Furniture"/>
    <n v="6"/>
    <n v="7000"/>
    <n v="42000"/>
    <s v="Medium Value"/>
    <x v="0"/>
    <s v="Completed"/>
    <x v="11"/>
    <s v="Q3"/>
    <n v="2025"/>
  </r>
  <r>
    <n v="100"/>
    <d v="2025-10-09T00:00:00"/>
    <x v="0"/>
    <s v="EMP009"/>
    <s v="CUST3652"/>
    <x v="3"/>
    <s v="Furniture"/>
    <n v="9"/>
    <n v="7000"/>
    <n v="63000"/>
    <s v="Medium Value"/>
    <x v="2"/>
    <s v="Completed"/>
    <x v="4"/>
    <s v="Q4"/>
    <n v="2025"/>
  </r>
  <r>
    <n v="101"/>
    <d v="2025-09-19T00:00:00"/>
    <x v="3"/>
    <s v="EMP005"/>
    <s v="CUST1302"/>
    <x v="5"/>
    <s v="Electronics"/>
    <n v="6"/>
    <n v="9000"/>
    <n v="54000"/>
    <s v="Medium Value"/>
    <x v="3"/>
    <s v="Completed"/>
    <x v="1"/>
    <s v="Q3"/>
    <n v="2025"/>
  </r>
  <r>
    <n v="102"/>
    <d v="2025-01-01T00:00:00"/>
    <x v="0"/>
    <s v="EMP017"/>
    <s v="CUST9932"/>
    <x v="0"/>
    <s v="Electronics"/>
    <n v="9"/>
    <n v="55000"/>
    <n v="495000"/>
    <s v="High Value"/>
    <x v="2"/>
    <s v="Completed"/>
    <x v="3"/>
    <s v="Q1"/>
    <n v="2025"/>
  </r>
  <r>
    <n v="103"/>
    <d v="2025-05-11T00:00:00"/>
    <x v="1"/>
    <s v="EMP010"/>
    <s v="CUST1096"/>
    <x v="1"/>
    <s v="Electronics"/>
    <n v="4"/>
    <n v="1200"/>
    <n v="4800"/>
    <s v="Low Value"/>
    <x v="2"/>
    <s v="Completed"/>
    <x v="9"/>
    <s v="Q2"/>
    <n v="2025"/>
  </r>
  <r>
    <n v="104"/>
    <d v="2025-01-16T00:00:00"/>
    <x v="2"/>
    <s v="EMP015"/>
    <s v="CUST2312"/>
    <x v="2"/>
    <s v="Furniture"/>
    <n v="8"/>
    <n v="3500"/>
    <n v="28000"/>
    <s v="Low Value"/>
    <x v="2"/>
    <s v="Completed"/>
    <x v="3"/>
    <s v="Q1"/>
    <n v="2025"/>
  </r>
  <r>
    <n v="105"/>
    <d v="2025-09-22T00:00:00"/>
    <x v="2"/>
    <s v="EMP001"/>
    <s v="CUST7557"/>
    <x v="0"/>
    <s v="Electronics"/>
    <n v="1"/>
    <n v="55000"/>
    <n v="55000"/>
    <s v="Medium Value"/>
    <x v="3"/>
    <s v="Completed"/>
    <x v="1"/>
    <s v="Q3"/>
    <n v="2025"/>
  </r>
  <r>
    <n v="106"/>
    <d v="2025-10-18T00:00:00"/>
    <x v="0"/>
    <s v="EMP002"/>
    <s v="CUST7356"/>
    <x v="1"/>
    <s v="Electronics"/>
    <n v="8"/>
    <n v="1200"/>
    <n v="9600"/>
    <s v="Low Value"/>
    <x v="1"/>
    <s v="Completed"/>
    <x v="4"/>
    <s v="Q4"/>
    <n v="2025"/>
  </r>
  <r>
    <n v="107"/>
    <d v="2025-12-28T00:00:00"/>
    <x v="0"/>
    <s v="EMP012"/>
    <s v="CUST4179"/>
    <x v="2"/>
    <s v="Furniture"/>
    <n v="7"/>
    <n v="3500"/>
    <n v="24500"/>
    <s v="Low Value"/>
    <x v="3"/>
    <s v="Cancelled"/>
    <x v="10"/>
    <s v="Q4"/>
    <n v="2025"/>
  </r>
  <r>
    <n v="108"/>
    <d v="2025-05-25T00:00:00"/>
    <x v="0"/>
    <s v="EMP014"/>
    <s v="CUST6456"/>
    <x v="4"/>
    <s v="Electronics"/>
    <n v="10"/>
    <n v="500"/>
    <n v="5000"/>
    <s v="Low Value"/>
    <x v="3"/>
    <s v="Completed"/>
    <x v="9"/>
    <s v="Q2"/>
    <n v="2025"/>
  </r>
  <r>
    <n v="109"/>
    <d v="2025-02-07T00:00:00"/>
    <x v="0"/>
    <s v="EMP006"/>
    <s v="CUST1338"/>
    <x v="3"/>
    <s v="Furniture"/>
    <n v="8"/>
    <n v="7000"/>
    <n v="56000"/>
    <s v="Medium Value"/>
    <x v="1"/>
    <s v="Pending"/>
    <x v="8"/>
    <s v="Q1"/>
    <n v="2025"/>
  </r>
  <r>
    <n v="110"/>
    <d v="2025-08-11T00:00:00"/>
    <x v="4"/>
    <s v="EMP016"/>
    <s v="CUST7891"/>
    <x v="2"/>
    <s v="Furniture"/>
    <n v="9"/>
    <n v="3500"/>
    <n v="31500"/>
    <s v="Medium Value"/>
    <x v="2"/>
    <s v="Completed"/>
    <x v="11"/>
    <s v="Q3"/>
    <n v="2025"/>
  </r>
  <r>
    <n v="111"/>
    <d v="2025-08-29T00:00:00"/>
    <x v="1"/>
    <s v="EMP020"/>
    <s v="CUST8793"/>
    <x v="1"/>
    <s v="Electronics"/>
    <n v="9"/>
    <n v="1200"/>
    <n v="10800"/>
    <s v="Low Value"/>
    <x v="1"/>
    <s v="Pending"/>
    <x v="11"/>
    <s v="Q3"/>
    <n v="2025"/>
  </r>
  <r>
    <n v="112"/>
    <d v="2025-03-04T00:00:00"/>
    <x v="0"/>
    <s v="EMP009"/>
    <s v="CUST5139"/>
    <x v="3"/>
    <s v="Furniture"/>
    <n v="3"/>
    <n v="7000"/>
    <n v="21000"/>
    <s v="Low Value"/>
    <x v="1"/>
    <s v="Completed"/>
    <x v="2"/>
    <s v="Q1"/>
    <n v="2025"/>
  </r>
  <r>
    <n v="113"/>
    <d v="2025-02-16T00:00:00"/>
    <x v="1"/>
    <s v="EMP008"/>
    <s v="CUST5555"/>
    <x v="5"/>
    <s v="Electronics"/>
    <n v="6"/>
    <n v="9000"/>
    <n v="54000"/>
    <s v="Medium Value"/>
    <x v="3"/>
    <s v="Completed"/>
    <x v="8"/>
    <s v="Q1"/>
    <n v="2025"/>
  </r>
  <r>
    <n v="114"/>
    <d v="2025-06-13T00:00:00"/>
    <x v="2"/>
    <s v="EMP004"/>
    <s v="CUST1610"/>
    <x v="2"/>
    <s v="Furniture"/>
    <n v="4"/>
    <n v="3500"/>
    <n v="14000"/>
    <s v="Low Value"/>
    <x v="1"/>
    <s v="Completed"/>
    <x v="6"/>
    <s v="Q2"/>
    <n v="2025"/>
  </r>
  <r>
    <n v="115"/>
    <d v="2025-08-28T00:00:00"/>
    <x v="3"/>
    <s v="EMP002"/>
    <s v="CUST2370"/>
    <x v="4"/>
    <s v="Electronics"/>
    <n v="4"/>
    <n v="500"/>
    <n v="2000"/>
    <s v="Low Value"/>
    <x v="3"/>
    <s v="Completed"/>
    <x v="11"/>
    <s v="Q3"/>
    <n v="2025"/>
  </r>
  <r>
    <n v="116"/>
    <d v="2025-11-07T00:00:00"/>
    <x v="2"/>
    <s v="EMP001"/>
    <s v="CUST5184"/>
    <x v="5"/>
    <s v="Electronics"/>
    <n v="7"/>
    <n v="9000"/>
    <n v="63000"/>
    <s v="Medium Value"/>
    <x v="1"/>
    <s v="Completed"/>
    <x v="7"/>
    <s v="Q4"/>
    <n v="2025"/>
  </r>
  <r>
    <n v="117"/>
    <d v="2025-02-19T00:00:00"/>
    <x v="4"/>
    <s v="EMP017"/>
    <s v="CUST3059"/>
    <x v="3"/>
    <s v="Furniture"/>
    <n v="5"/>
    <n v="7000"/>
    <n v="35000"/>
    <s v="Medium Value"/>
    <x v="2"/>
    <s v="Pending"/>
    <x v="8"/>
    <s v="Q1"/>
    <n v="2025"/>
  </r>
  <r>
    <n v="118"/>
    <d v="2025-07-18T00:00:00"/>
    <x v="1"/>
    <s v="EMP020"/>
    <s v="CUST5516"/>
    <x v="3"/>
    <s v="Furniture"/>
    <n v="6"/>
    <n v="7000"/>
    <n v="42000"/>
    <s v="Medium Value"/>
    <x v="0"/>
    <s v="Completed"/>
    <x v="5"/>
    <s v="Q3"/>
    <n v="2025"/>
  </r>
  <r>
    <n v="119"/>
    <d v="2025-08-23T00:00:00"/>
    <x v="0"/>
    <s v="EMP014"/>
    <s v="CUST2470"/>
    <x v="3"/>
    <s v="Furniture"/>
    <n v="9"/>
    <n v="7000"/>
    <n v="63000"/>
    <s v="Medium Value"/>
    <x v="3"/>
    <s v="Completed"/>
    <x v="11"/>
    <s v="Q3"/>
    <n v="2025"/>
  </r>
  <r>
    <n v="120"/>
    <d v="2025-09-07T00:00:00"/>
    <x v="1"/>
    <s v="EMP012"/>
    <s v="CUST5188"/>
    <x v="3"/>
    <s v="Furniture"/>
    <n v="1"/>
    <n v="7000"/>
    <n v="7000"/>
    <s v="Low Value"/>
    <x v="2"/>
    <s v="Completed"/>
    <x v="1"/>
    <s v="Q3"/>
    <n v="2025"/>
  </r>
  <r>
    <n v="121"/>
    <d v="2025-07-02T00:00:00"/>
    <x v="3"/>
    <s v="EMP017"/>
    <s v="CUST9035"/>
    <x v="1"/>
    <s v="Electronics"/>
    <n v="7"/>
    <n v="1200"/>
    <n v="8400"/>
    <s v="Low Value"/>
    <x v="2"/>
    <s v="Completed"/>
    <x v="5"/>
    <s v="Q3"/>
    <n v="2025"/>
  </r>
  <r>
    <n v="122"/>
    <d v="2025-09-29T00:00:00"/>
    <x v="4"/>
    <s v="EMP018"/>
    <s v="CUST7270"/>
    <x v="0"/>
    <s v="Electronics"/>
    <n v="3"/>
    <n v="55000"/>
    <n v="165000"/>
    <s v="High Value"/>
    <x v="1"/>
    <s v="Completed"/>
    <x v="1"/>
    <s v="Q3"/>
    <n v="2025"/>
  </r>
  <r>
    <n v="123"/>
    <d v="2025-04-17T00:00:00"/>
    <x v="2"/>
    <s v="EMP002"/>
    <s v="CUST6924"/>
    <x v="0"/>
    <s v="Electronics"/>
    <n v="8"/>
    <n v="55000"/>
    <n v="440000"/>
    <s v="High Value"/>
    <x v="3"/>
    <s v="Completed"/>
    <x v="0"/>
    <s v="Q2"/>
    <n v="2025"/>
  </r>
  <r>
    <n v="124"/>
    <d v="2025-12-31T00:00:00"/>
    <x v="2"/>
    <s v="EMP019"/>
    <s v="CUST3065"/>
    <x v="1"/>
    <s v="Electronics"/>
    <n v="3"/>
    <n v="1200"/>
    <n v="3600"/>
    <s v="Low Value"/>
    <x v="1"/>
    <s v="Completed"/>
    <x v="10"/>
    <s v="Q4"/>
    <n v="2025"/>
  </r>
  <r>
    <n v="125"/>
    <d v="2025-06-23T00:00:00"/>
    <x v="3"/>
    <s v="EMP001"/>
    <s v="CUST3790"/>
    <x v="3"/>
    <s v="Furniture"/>
    <n v="2"/>
    <n v="7000"/>
    <n v="14000"/>
    <s v="Low Value"/>
    <x v="2"/>
    <s v="Pending"/>
    <x v="6"/>
    <s v="Q2"/>
    <n v="2025"/>
  </r>
  <r>
    <n v="126"/>
    <d v="2025-08-19T00:00:00"/>
    <x v="3"/>
    <s v="EMP018"/>
    <s v="CUST1880"/>
    <x v="5"/>
    <s v="Electronics"/>
    <n v="1"/>
    <n v="9000"/>
    <n v="9000"/>
    <s v="Low Value"/>
    <x v="1"/>
    <s v="Completed"/>
    <x v="11"/>
    <s v="Q3"/>
    <n v="2025"/>
  </r>
  <r>
    <n v="127"/>
    <d v="2025-07-17T00:00:00"/>
    <x v="0"/>
    <s v="EMP014"/>
    <s v="CUST9304"/>
    <x v="0"/>
    <s v="Electronics"/>
    <n v="4"/>
    <n v="55000"/>
    <n v="220000"/>
    <s v="High Value"/>
    <x v="0"/>
    <s v="Cancelled"/>
    <x v="5"/>
    <s v="Q3"/>
    <n v="2025"/>
  </r>
  <r>
    <n v="128"/>
    <d v="2025-03-12T00:00:00"/>
    <x v="3"/>
    <s v="EMP001"/>
    <s v="CUST9511"/>
    <x v="0"/>
    <s v="Electronics"/>
    <n v="9"/>
    <n v="55000"/>
    <n v="495000"/>
    <s v="High Value"/>
    <x v="0"/>
    <s v="Completed"/>
    <x v="2"/>
    <s v="Q1"/>
    <n v="2025"/>
  </r>
  <r>
    <n v="129"/>
    <d v="2025-05-19T00:00:00"/>
    <x v="3"/>
    <s v="EMP005"/>
    <s v="CUST4095"/>
    <x v="0"/>
    <s v="Electronics"/>
    <n v="7"/>
    <n v="55000"/>
    <n v="385000"/>
    <s v="High Value"/>
    <x v="3"/>
    <s v="Cancelled"/>
    <x v="9"/>
    <s v="Q2"/>
    <n v="2025"/>
  </r>
  <r>
    <n v="130"/>
    <d v="2025-09-25T00:00:00"/>
    <x v="1"/>
    <s v="EMP012"/>
    <s v="CUST8989"/>
    <x v="3"/>
    <s v="Furniture"/>
    <n v="7"/>
    <n v="7000"/>
    <n v="49000"/>
    <s v="Medium Value"/>
    <x v="3"/>
    <s v="Completed"/>
    <x v="1"/>
    <s v="Q3"/>
    <n v="2025"/>
  </r>
  <r>
    <n v="131"/>
    <d v="2025-02-11T00:00:00"/>
    <x v="0"/>
    <s v="EMP016"/>
    <s v="CUST3645"/>
    <x v="2"/>
    <s v="Furniture"/>
    <n v="6"/>
    <n v="3500"/>
    <n v="21000"/>
    <s v="Low Value"/>
    <x v="3"/>
    <s v="Completed"/>
    <x v="8"/>
    <s v="Q1"/>
    <n v="2025"/>
  </r>
  <r>
    <n v="132"/>
    <d v="2025-02-16T00:00:00"/>
    <x v="4"/>
    <s v="EMP005"/>
    <s v="CUST4324"/>
    <x v="4"/>
    <s v="Electronics"/>
    <n v="7"/>
    <n v="500"/>
    <n v="3500"/>
    <s v="Low Value"/>
    <x v="1"/>
    <s v="Completed"/>
    <x v="8"/>
    <s v="Q1"/>
    <n v="2025"/>
  </r>
  <r>
    <n v="133"/>
    <d v="2025-09-11T00:00:00"/>
    <x v="1"/>
    <s v="EMP009"/>
    <s v="CUST9092"/>
    <x v="4"/>
    <s v="Electronics"/>
    <n v="8"/>
    <n v="500"/>
    <n v="4000"/>
    <s v="Low Value"/>
    <x v="0"/>
    <s v="Completed"/>
    <x v="1"/>
    <s v="Q3"/>
    <n v="2025"/>
  </r>
  <r>
    <n v="134"/>
    <d v="2025-07-04T00:00:00"/>
    <x v="2"/>
    <s v="EMP012"/>
    <s v="CUST6283"/>
    <x v="5"/>
    <s v="Electronics"/>
    <n v="2"/>
    <n v="9000"/>
    <n v="18000"/>
    <s v="Low Value"/>
    <x v="2"/>
    <s v="Pending"/>
    <x v="5"/>
    <s v="Q3"/>
    <n v="2025"/>
  </r>
  <r>
    <n v="135"/>
    <d v="2025-07-16T00:00:00"/>
    <x v="4"/>
    <s v="EMP007"/>
    <s v="CUST3410"/>
    <x v="2"/>
    <s v="Furniture"/>
    <n v="6"/>
    <n v="3500"/>
    <n v="21000"/>
    <s v="Low Value"/>
    <x v="3"/>
    <s v="Completed"/>
    <x v="5"/>
    <s v="Q3"/>
    <n v="2025"/>
  </r>
  <r>
    <n v="136"/>
    <d v="2025-05-27T00:00:00"/>
    <x v="1"/>
    <s v="EMP013"/>
    <s v="CUST1577"/>
    <x v="3"/>
    <s v="Furniture"/>
    <n v="1"/>
    <n v="7000"/>
    <n v="7000"/>
    <s v="Low Value"/>
    <x v="0"/>
    <s v="Completed"/>
    <x v="9"/>
    <s v="Q2"/>
    <n v="2025"/>
  </r>
  <r>
    <n v="137"/>
    <d v="2025-01-12T00:00:00"/>
    <x v="2"/>
    <s v="EMP018"/>
    <s v="CUST8090"/>
    <x v="0"/>
    <s v="Electronics"/>
    <n v="5"/>
    <n v="55000"/>
    <n v="275000"/>
    <s v="High Value"/>
    <x v="2"/>
    <s v="Completed"/>
    <x v="3"/>
    <s v="Q1"/>
    <n v="2025"/>
  </r>
  <r>
    <n v="138"/>
    <d v="2025-11-26T00:00:00"/>
    <x v="0"/>
    <s v="EMP016"/>
    <s v="CUST5143"/>
    <x v="2"/>
    <s v="Furniture"/>
    <n v="6"/>
    <n v="3500"/>
    <n v="21000"/>
    <s v="Low Value"/>
    <x v="0"/>
    <s v="Completed"/>
    <x v="7"/>
    <s v="Q4"/>
    <n v="2025"/>
  </r>
  <r>
    <n v="139"/>
    <d v="2025-04-28T00:00:00"/>
    <x v="3"/>
    <s v="EMP005"/>
    <s v="CUST7768"/>
    <x v="1"/>
    <s v="Electronics"/>
    <n v="3"/>
    <n v="1200"/>
    <n v="3600"/>
    <s v="Low Value"/>
    <x v="1"/>
    <s v="Completed"/>
    <x v="0"/>
    <s v="Q2"/>
    <n v="2025"/>
  </r>
  <r>
    <n v="140"/>
    <d v="2025-02-13T00:00:00"/>
    <x v="1"/>
    <s v="EMP005"/>
    <s v="CUST2396"/>
    <x v="3"/>
    <s v="Furniture"/>
    <n v="1"/>
    <n v="7000"/>
    <n v="7000"/>
    <s v="Low Value"/>
    <x v="2"/>
    <s v="Pending"/>
    <x v="8"/>
    <s v="Q1"/>
    <n v="2025"/>
  </r>
  <r>
    <n v="141"/>
    <d v="2025-11-13T00:00:00"/>
    <x v="4"/>
    <s v="EMP007"/>
    <s v="CUST6519"/>
    <x v="2"/>
    <s v="Furniture"/>
    <n v="1"/>
    <n v="3500"/>
    <n v="3500"/>
    <s v="Low Value"/>
    <x v="2"/>
    <s v="Cancelled"/>
    <x v="7"/>
    <s v="Q4"/>
    <n v="2025"/>
  </r>
  <r>
    <n v="142"/>
    <d v="2025-11-19T00:00:00"/>
    <x v="3"/>
    <s v="EMP018"/>
    <s v="CUST1727"/>
    <x v="1"/>
    <s v="Electronics"/>
    <n v="8"/>
    <n v="1200"/>
    <n v="9600"/>
    <s v="Low Value"/>
    <x v="3"/>
    <s v="Completed"/>
    <x v="7"/>
    <s v="Q4"/>
    <n v="2025"/>
  </r>
  <r>
    <n v="143"/>
    <d v="2025-07-16T00:00:00"/>
    <x v="2"/>
    <s v="EMP019"/>
    <s v="CUST5663"/>
    <x v="2"/>
    <s v="Furniture"/>
    <n v="1"/>
    <n v="3500"/>
    <n v="3500"/>
    <s v="Low Value"/>
    <x v="2"/>
    <s v="Completed"/>
    <x v="5"/>
    <s v="Q3"/>
    <n v="2025"/>
  </r>
  <r>
    <n v="144"/>
    <d v="2025-10-29T00:00:00"/>
    <x v="3"/>
    <s v="EMP009"/>
    <s v="CUST1199"/>
    <x v="3"/>
    <s v="Furniture"/>
    <n v="9"/>
    <n v="7000"/>
    <n v="63000"/>
    <s v="Medium Value"/>
    <x v="1"/>
    <s v="Completed"/>
    <x v="4"/>
    <s v="Q4"/>
    <n v="2025"/>
  </r>
  <r>
    <n v="145"/>
    <d v="2025-05-15T00:00:00"/>
    <x v="3"/>
    <s v="EMP003"/>
    <s v="CUST8010"/>
    <x v="1"/>
    <s v="Electronics"/>
    <n v="4"/>
    <n v="1200"/>
    <n v="4800"/>
    <s v="Low Value"/>
    <x v="3"/>
    <s v="Completed"/>
    <x v="9"/>
    <s v="Q2"/>
    <n v="2025"/>
  </r>
  <r>
    <n v="146"/>
    <d v="2025-03-14T00:00:00"/>
    <x v="3"/>
    <s v="EMP018"/>
    <s v="CUST8045"/>
    <x v="5"/>
    <s v="Electronics"/>
    <n v="2"/>
    <n v="9000"/>
    <n v="18000"/>
    <s v="Low Value"/>
    <x v="1"/>
    <s v="Completed"/>
    <x v="2"/>
    <s v="Q1"/>
    <n v="2025"/>
  </r>
  <r>
    <n v="147"/>
    <d v="2025-06-05T00:00:00"/>
    <x v="3"/>
    <s v="EMP008"/>
    <s v="CUST7468"/>
    <x v="2"/>
    <s v="Furniture"/>
    <n v="10"/>
    <n v="3500"/>
    <n v="35000"/>
    <s v="Medium Value"/>
    <x v="0"/>
    <s v="Pending"/>
    <x v="6"/>
    <s v="Q2"/>
    <n v="2025"/>
  </r>
  <r>
    <n v="148"/>
    <d v="2025-10-19T00:00:00"/>
    <x v="2"/>
    <s v="EMP019"/>
    <s v="CUST2845"/>
    <x v="5"/>
    <s v="Electronics"/>
    <n v="1"/>
    <n v="9000"/>
    <n v="9000"/>
    <s v="Low Value"/>
    <x v="3"/>
    <s v="Completed"/>
    <x v="4"/>
    <s v="Q4"/>
    <n v="2025"/>
  </r>
  <r>
    <n v="149"/>
    <d v="2025-01-06T00:00:00"/>
    <x v="1"/>
    <s v="EMP005"/>
    <s v="CUST2718"/>
    <x v="4"/>
    <s v="Electronics"/>
    <n v="9"/>
    <n v="500"/>
    <n v="4500"/>
    <s v="Low Value"/>
    <x v="3"/>
    <s v="Completed"/>
    <x v="3"/>
    <s v="Q1"/>
    <n v="2025"/>
  </r>
  <r>
    <n v="150"/>
    <d v="2025-09-03T00:00:00"/>
    <x v="0"/>
    <s v="EMP003"/>
    <s v="CUST4152"/>
    <x v="4"/>
    <s v="Electronics"/>
    <n v="10"/>
    <n v="500"/>
    <n v="5000"/>
    <s v="Low Value"/>
    <x v="0"/>
    <s v="Pending"/>
    <x v="1"/>
    <s v="Q3"/>
    <n v="2025"/>
  </r>
  <r>
    <n v="151"/>
    <d v="2025-05-28T00:00:00"/>
    <x v="2"/>
    <s v="EMP001"/>
    <s v="CUST9005"/>
    <x v="2"/>
    <s v="Furniture"/>
    <n v="2"/>
    <n v="3500"/>
    <n v="7000"/>
    <s v="Low Value"/>
    <x v="0"/>
    <s v="Completed"/>
    <x v="9"/>
    <s v="Q2"/>
    <n v="2025"/>
  </r>
  <r>
    <n v="152"/>
    <d v="2025-05-26T00:00:00"/>
    <x v="1"/>
    <s v="EMP005"/>
    <s v="CUST3041"/>
    <x v="5"/>
    <s v="Electronics"/>
    <n v="6"/>
    <n v="9000"/>
    <n v="54000"/>
    <s v="Medium Value"/>
    <x v="0"/>
    <s v="Completed"/>
    <x v="9"/>
    <s v="Q2"/>
    <n v="2025"/>
  </r>
  <r>
    <n v="153"/>
    <d v="2025-01-11T00:00:00"/>
    <x v="0"/>
    <s v="EMP016"/>
    <s v="CUST5539"/>
    <x v="1"/>
    <s v="Electronics"/>
    <n v="5"/>
    <n v="1200"/>
    <n v="6000"/>
    <s v="Low Value"/>
    <x v="1"/>
    <s v="Completed"/>
    <x v="3"/>
    <s v="Q1"/>
    <n v="2025"/>
  </r>
  <r>
    <n v="154"/>
    <d v="2025-06-15T00:00:00"/>
    <x v="4"/>
    <s v="EMP017"/>
    <s v="CUST8923"/>
    <x v="1"/>
    <s v="Electronics"/>
    <n v="6"/>
    <n v="1200"/>
    <n v="7200"/>
    <s v="Low Value"/>
    <x v="3"/>
    <s v="Completed"/>
    <x v="6"/>
    <s v="Q2"/>
    <n v="2025"/>
  </r>
  <r>
    <n v="155"/>
    <d v="2025-10-18T00:00:00"/>
    <x v="2"/>
    <s v="EMP009"/>
    <s v="CUST8038"/>
    <x v="3"/>
    <s v="Furniture"/>
    <n v="6"/>
    <n v="7000"/>
    <n v="42000"/>
    <s v="Medium Value"/>
    <x v="2"/>
    <s v="Completed"/>
    <x v="4"/>
    <s v="Q4"/>
    <n v="2025"/>
  </r>
  <r>
    <n v="156"/>
    <d v="2025-06-04T00:00:00"/>
    <x v="1"/>
    <s v="EMP004"/>
    <s v="CUST1013"/>
    <x v="2"/>
    <s v="Furniture"/>
    <n v="9"/>
    <n v="3500"/>
    <n v="31500"/>
    <s v="Medium Value"/>
    <x v="1"/>
    <s v="Completed"/>
    <x v="6"/>
    <s v="Q2"/>
    <n v="2025"/>
  </r>
  <r>
    <n v="157"/>
    <d v="2025-11-14T00:00:00"/>
    <x v="3"/>
    <s v="EMP011"/>
    <s v="CUST3858"/>
    <x v="5"/>
    <s v="Electronics"/>
    <n v="1"/>
    <n v="9000"/>
    <n v="9000"/>
    <s v="Low Value"/>
    <x v="0"/>
    <s v="Completed"/>
    <x v="7"/>
    <s v="Q4"/>
    <n v="2025"/>
  </r>
  <r>
    <n v="158"/>
    <d v="2025-04-04T00:00:00"/>
    <x v="0"/>
    <s v="EMP004"/>
    <s v="CUST9033"/>
    <x v="3"/>
    <s v="Furniture"/>
    <n v="10"/>
    <n v="7000"/>
    <n v="70000"/>
    <s v="Medium Value"/>
    <x v="0"/>
    <s v="Completed"/>
    <x v="0"/>
    <s v="Q2"/>
    <n v="2025"/>
  </r>
  <r>
    <n v="159"/>
    <d v="2025-07-17T00:00:00"/>
    <x v="4"/>
    <s v="EMP001"/>
    <s v="CUST5897"/>
    <x v="3"/>
    <s v="Furniture"/>
    <n v="5"/>
    <n v="7000"/>
    <n v="35000"/>
    <s v="Medium Value"/>
    <x v="3"/>
    <s v="Completed"/>
    <x v="5"/>
    <s v="Q3"/>
    <n v="2025"/>
  </r>
  <r>
    <n v="160"/>
    <d v="2025-09-20T00:00:00"/>
    <x v="2"/>
    <s v="EMP017"/>
    <s v="CUST1137"/>
    <x v="3"/>
    <s v="Furniture"/>
    <n v="10"/>
    <n v="7000"/>
    <n v="70000"/>
    <s v="Medium Value"/>
    <x v="0"/>
    <s v="Completed"/>
    <x v="1"/>
    <s v="Q3"/>
    <n v="2025"/>
  </r>
  <r>
    <n v="161"/>
    <d v="2025-02-19T00:00:00"/>
    <x v="4"/>
    <s v="EMP004"/>
    <s v="CUST2176"/>
    <x v="3"/>
    <s v="Furniture"/>
    <n v="7"/>
    <n v="7000"/>
    <n v="49000"/>
    <s v="Medium Value"/>
    <x v="2"/>
    <s v="Cancelled"/>
    <x v="8"/>
    <s v="Q1"/>
    <n v="2025"/>
  </r>
  <r>
    <n v="162"/>
    <d v="2025-12-31T00:00:00"/>
    <x v="2"/>
    <s v="EMP014"/>
    <s v="CUST1457"/>
    <x v="4"/>
    <s v="Electronics"/>
    <n v="3"/>
    <n v="500"/>
    <n v="1500"/>
    <s v="Low Value"/>
    <x v="3"/>
    <s v="Completed"/>
    <x v="10"/>
    <s v="Q4"/>
    <n v="2025"/>
  </r>
  <r>
    <n v="163"/>
    <d v="2025-01-23T00:00:00"/>
    <x v="4"/>
    <s v="EMP011"/>
    <s v="CUST1128"/>
    <x v="4"/>
    <s v="Electronics"/>
    <n v="2"/>
    <n v="500"/>
    <n v="1000"/>
    <s v="Low Value"/>
    <x v="1"/>
    <s v="Completed"/>
    <x v="3"/>
    <s v="Q1"/>
    <n v="2025"/>
  </r>
  <r>
    <n v="164"/>
    <d v="2025-07-21T00:00:00"/>
    <x v="0"/>
    <s v="EMP020"/>
    <s v="CUST1156"/>
    <x v="3"/>
    <s v="Furniture"/>
    <n v="1"/>
    <n v="7000"/>
    <n v="7000"/>
    <s v="Low Value"/>
    <x v="3"/>
    <s v="Completed"/>
    <x v="5"/>
    <s v="Q3"/>
    <n v="2025"/>
  </r>
  <r>
    <n v="165"/>
    <d v="2025-02-23T00:00:00"/>
    <x v="3"/>
    <s v="EMP014"/>
    <s v="CUST2345"/>
    <x v="3"/>
    <s v="Furniture"/>
    <n v="6"/>
    <n v="7000"/>
    <n v="42000"/>
    <s v="Medium Value"/>
    <x v="1"/>
    <s v="Pending"/>
    <x v="8"/>
    <s v="Q1"/>
    <n v="2025"/>
  </r>
  <r>
    <n v="166"/>
    <d v="2025-05-09T00:00:00"/>
    <x v="3"/>
    <s v="EMP019"/>
    <s v="CUST2062"/>
    <x v="2"/>
    <s v="Furniture"/>
    <n v="6"/>
    <n v="3500"/>
    <n v="21000"/>
    <s v="Low Value"/>
    <x v="2"/>
    <s v="Completed"/>
    <x v="9"/>
    <s v="Q2"/>
    <n v="2025"/>
  </r>
  <r>
    <n v="167"/>
    <d v="2025-07-29T00:00:00"/>
    <x v="3"/>
    <s v="EMP013"/>
    <s v="CUST5721"/>
    <x v="0"/>
    <s v="Electronics"/>
    <n v="5"/>
    <n v="55000"/>
    <n v="275000"/>
    <s v="High Value"/>
    <x v="3"/>
    <s v="Completed"/>
    <x v="5"/>
    <s v="Q3"/>
    <n v="2025"/>
  </r>
  <r>
    <n v="168"/>
    <d v="2025-10-21T00:00:00"/>
    <x v="4"/>
    <s v="EMP013"/>
    <s v="CUST7137"/>
    <x v="1"/>
    <s v="Electronics"/>
    <n v="1"/>
    <n v="1200"/>
    <n v="1200"/>
    <s v="Low Value"/>
    <x v="0"/>
    <s v="Completed"/>
    <x v="4"/>
    <s v="Q4"/>
    <n v="2025"/>
  </r>
  <r>
    <n v="169"/>
    <d v="2025-09-14T00:00:00"/>
    <x v="0"/>
    <s v="EMP001"/>
    <s v="CUST4861"/>
    <x v="3"/>
    <s v="Furniture"/>
    <n v="5"/>
    <n v="7000"/>
    <n v="35000"/>
    <s v="Medium Value"/>
    <x v="2"/>
    <s v="Completed"/>
    <x v="1"/>
    <s v="Q3"/>
    <n v="2025"/>
  </r>
  <r>
    <n v="170"/>
    <d v="2025-09-08T00:00:00"/>
    <x v="4"/>
    <s v="EMP019"/>
    <s v="CUST7520"/>
    <x v="3"/>
    <s v="Furniture"/>
    <n v="3"/>
    <n v="7000"/>
    <n v="21000"/>
    <s v="Low Value"/>
    <x v="0"/>
    <s v="Completed"/>
    <x v="1"/>
    <s v="Q3"/>
    <n v="2025"/>
  </r>
  <r>
    <n v="171"/>
    <d v="2025-01-18T00:00:00"/>
    <x v="4"/>
    <s v="EMP012"/>
    <s v="CUST1506"/>
    <x v="3"/>
    <s v="Furniture"/>
    <n v="5"/>
    <n v="7000"/>
    <n v="35000"/>
    <s v="Medium Value"/>
    <x v="0"/>
    <s v="Completed"/>
    <x v="3"/>
    <s v="Q1"/>
    <n v="2025"/>
  </r>
  <r>
    <n v="172"/>
    <d v="2025-09-04T00:00:00"/>
    <x v="4"/>
    <s v="EMP006"/>
    <s v="CUST2267"/>
    <x v="2"/>
    <s v="Furniture"/>
    <n v="2"/>
    <n v="3500"/>
    <n v="7000"/>
    <s v="Low Value"/>
    <x v="3"/>
    <s v="Completed"/>
    <x v="1"/>
    <s v="Q3"/>
    <n v="2025"/>
  </r>
  <r>
    <n v="173"/>
    <d v="2025-01-31T00:00:00"/>
    <x v="2"/>
    <s v="EMP009"/>
    <s v="CUST3606"/>
    <x v="4"/>
    <s v="Electronics"/>
    <n v="1"/>
    <n v="500"/>
    <n v="500"/>
    <s v="Low Value"/>
    <x v="2"/>
    <s v="Cancelled"/>
    <x v="3"/>
    <s v="Q1"/>
    <n v="2025"/>
  </r>
  <r>
    <n v="174"/>
    <d v="2025-11-14T00:00:00"/>
    <x v="4"/>
    <s v="EMP007"/>
    <s v="CUST2981"/>
    <x v="3"/>
    <s v="Furniture"/>
    <n v="7"/>
    <n v="7000"/>
    <n v="49000"/>
    <s v="Medium Value"/>
    <x v="1"/>
    <s v="Completed"/>
    <x v="7"/>
    <s v="Q4"/>
    <n v="2025"/>
  </r>
  <r>
    <n v="175"/>
    <d v="2025-06-13T00:00:00"/>
    <x v="0"/>
    <s v="EMP008"/>
    <s v="CUST4483"/>
    <x v="1"/>
    <s v="Electronics"/>
    <n v="5"/>
    <n v="1200"/>
    <n v="6000"/>
    <s v="Low Value"/>
    <x v="0"/>
    <s v="Completed"/>
    <x v="6"/>
    <s v="Q2"/>
    <n v="2025"/>
  </r>
  <r>
    <n v="176"/>
    <d v="2025-08-17T00:00:00"/>
    <x v="0"/>
    <s v="EMP020"/>
    <s v="CUST7401"/>
    <x v="1"/>
    <s v="Electronics"/>
    <n v="7"/>
    <n v="1200"/>
    <n v="8400"/>
    <s v="Low Value"/>
    <x v="3"/>
    <s v="Completed"/>
    <x v="11"/>
    <s v="Q3"/>
    <n v="2025"/>
  </r>
  <r>
    <n v="177"/>
    <d v="2025-11-20T00:00:00"/>
    <x v="2"/>
    <s v="EMP009"/>
    <s v="CUST6153"/>
    <x v="3"/>
    <s v="Furniture"/>
    <n v="8"/>
    <n v="7000"/>
    <n v="56000"/>
    <s v="Medium Value"/>
    <x v="2"/>
    <s v="Completed"/>
    <x v="7"/>
    <s v="Q4"/>
    <n v="2025"/>
  </r>
  <r>
    <n v="178"/>
    <d v="2025-09-22T00:00:00"/>
    <x v="3"/>
    <s v="EMP011"/>
    <s v="CUST8261"/>
    <x v="3"/>
    <s v="Furniture"/>
    <n v="7"/>
    <n v="7000"/>
    <n v="49000"/>
    <s v="Medium Value"/>
    <x v="1"/>
    <s v="Pending"/>
    <x v="1"/>
    <s v="Q3"/>
    <n v="2025"/>
  </r>
  <r>
    <n v="179"/>
    <d v="2025-10-08T00:00:00"/>
    <x v="3"/>
    <s v="EMP007"/>
    <s v="CUST2543"/>
    <x v="1"/>
    <s v="Electronics"/>
    <n v="8"/>
    <n v="1200"/>
    <n v="9600"/>
    <s v="Low Value"/>
    <x v="3"/>
    <s v="Completed"/>
    <x v="4"/>
    <s v="Q4"/>
    <n v="2025"/>
  </r>
  <r>
    <n v="180"/>
    <d v="2025-07-14T00:00:00"/>
    <x v="0"/>
    <s v="EMP003"/>
    <s v="CUST4193"/>
    <x v="1"/>
    <s v="Electronics"/>
    <n v="7"/>
    <n v="1200"/>
    <n v="8400"/>
    <s v="Low Value"/>
    <x v="0"/>
    <s v="Completed"/>
    <x v="5"/>
    <s v="Q3"/>
    <n v="2025"/>
  </r>
  <r>
    <n v="181"/>
    <d v="2025-08-02T00:00:00"/>
    <x v="3"/>
    <s v="EMP014"/>
    <s v="CUST8160"/>
    <x v="0"/>
    <s v="Electronics"/>
    <n v="2"/>
    <n v="55000"/>
    <n v="110000"/>
    <s v="High Value"/>
    <x v="2"/>
    <s v="Pending"/>
    <x v="11"/>
    <s v="Q3"/>
    <n v="2025"/>
  </r>
  <r>
    <n v="182"/>
    <d v="2025-12-05T00:00:00"/>
    <x v="0"/>
    <s v="EMP006"/>
    <s v="CUST2894"/>
    <x v="2"/>
    <s v="Furniture"/>
    <n v="4"/>
    <n v="3500"/>
    <n v="14000"/>
    <s v="Low Value"/>
    <x v="3"/>
    <s v="Completed"/>
    <x v="10"/>
    <s v="Q4"/>
    <n v="2025"/>
  </r>
  <r>
    <n v="183"/>
    <d v="2025-08-24T00:00:00"/>
    <x v="4"/>
    <s v="EMP001"/>
    <s v="CUST5494"/>
    <x v="0"/>
    <s v="Electronics"/>
    <n v="10"/>
    <n v="55000"/>
    <n v="550000"/>
    <s v="High Value"/>
    <x v="0"/>
    <s v="Completed"/>
    <x v="11"/>
    <s v="Q3"/>
    <n v="2025"/>
  </r>
  <r>
    <n v="184"/>
    <d v="2025-07-25T00:00:00"/>
    <x v="4"/>
    <s v="EMP015"/>
    <s v="CUST9157"/>
    <x v="3"/>
    <s v="Furniture"/>
    <n v="5"/>
    <n v="7000"/>
    <n v="35000"/>
    <s v="Medium Value"/>
    <x v="0"/>
    <s v="Completed"/>
    <x v="5"/>
    <s v="Q3"/>
    <n v="2025"/>
  </r>
  <r>
    <n v="185"/>
    <d v="2025-01-23T00:00:00"/>
    <x v="3"/>
    <s v="EMP015"/>
    <s v="CUST1790"/>
    <x v="2"/>
    <s v="Furniture"/>
    <n v="6"/>
    <n v="3500"/>
    <n v="21000"/>
    <s v="Low Value"/>
    <x v="3"/>
    <s v="Completed"/>
    <x v="3"/>
    <s v="Q1"/>
    <n v="2025"/>
  </r>
  <r>
    <n v="186"/>
    <d v="2025-10-03T00:00:00"/>
    <x v="2"/>
    <s v="EMP013"/>
    <s v="CUST3802"/>
    <x v="0"/>
    <s v="Electronics"/>
    <n v="4"/>
    <n v="55000"/>
    <n v="220000"/>
    <s v="High Value"/>
    <x v="2"/>
    <s v="Completed"/>
    <x v="4"/>
    <s v="Q4"/>
    <n v="2025"/>
  </r>
  <r>
    <n v="187"/>
    <d v="2025-11-07T00:00:00"/>
    <x v="3"/>
    <s v="EMP019"/>
    <s v="CUST1000"/>
    <x v="4"/>
    <s v="Electronics"/>
    <n v="2"/>
    <n v="500"/>
    <n v="1000"/>
    <s v="Low Value"/>
    <x v="2"/>
    <s v="Completed"/>
    <x v="7"/>
    <s v="Q4"/>
    <n v="2025"/>
  </r>
  <r>
    <n v="188"/>
    <d v="2025-04-18T00:00:00"/>
    <x v="0"/>
    <s v="EMP019"/>
    <s v="CUST5778"/>
    <x v="0"/>
    <s v="Electronics"/>
    <n v="10"/>
    <n v="55000"/>
    <n v="550000"/>
    <s v="High Value"/>
    <x v="3"/>
    <s v="Completed"/>
    <x v="0"/>
    <s v="Q2"/>
    <n v="2025"/>
  </r>
  <r>
    <n v="189"/>
    <d v="2025-05-22T00:00:00"/>
    <x v="3"/>
    <s v="EMP004"/>
    <s v="CUST9087"/>
    <x v="4"/>
    <s v="Electronics"/>
    <n v="4"/>
    <n v="500"/>
    <n v="2000"/>
    <s v="Low Value"/>
    <x v="1"/>
    <s v="Completed"/>
    <x v="9"/>
    <s v="Q2"/>
    <n v="2025"/>
  </r>
  <r>
    <n v="190"/>
    <d v="2025-09-17T00:00:00"/>
    <x v="0"/>
    <s v="EMP011"/>
    <s v="CUST6929"/>
    <x v="0"/>
    <s v="Electronics"/>
    <n v="4"/>
    <n v="55000"/>
    <n v="220000"/>
    <s v="High Value"/>
    <x v="0"/>
    <s v="Completed"/>
    <x v="1"/>
    <s v="Q3"/>
    <n v="2025"/>
  </r>
  <r>
    <n v="191"/>
    <d v="2025-06-01T00:00:00"/>
    <x v="0"/>
    <s v="EMP003"/>
    <s v="CUST9850"/>
    <x v="2"/>
    <s v="Furniture"/>
    <n v="1"/>
    <n v="3500"/>
    <n v="3500"/>
    <s v="Low Value"/>
    <x v="1"/>
    <s v="Completed"/>
    <x v="6"/>
    <s v="Q2"/>
    <n v="2025"/>
  </r>
  <r>
    <n v="192"/>
    <d v="2025-09-16T00:00:00"/>
    <x v="4"/>
    <s v="EMP005"/>
    <s v="CUST1629"/>
    <x v="2"/>
    <s v="Furniture"/>
    <n v="10"/>
    <n v="3500"/>
    <n v="35000"/>
    <s v="Medium Value"/>
    <x v="1"/>
    <s v="Completed"/>
    <x v="1"/>
    <s v="Q3"/>
    <n v="2025"/>
  </r>
  <r>
    <n v="193"/>
    <d v="2025-06-26T00:00:00"/>
    <x v="0"/>
    <s v="EMP012"/>
    <s v="CUST6593"/>
    <x v="4"/>
    <s v="Electronics"/>
    <n v="9"/>
    <n v="500"/>
    <n v="4500"/>
    <s v="Low Value"/>
    <x v="0"/>
    <s v="Pending"/>
    <x v="6"/>
    <s v="Q2"/>
    <n v="2025"/>
  </r>
  <r>
    <n v="194"/>
    <d v="2025-07-09T00:00:00"/>
    <x v="1"/>
    <s v="EMP010"/>
    <s v="CUST7296"/>
    <x v="0"/>
    <s v="Electronics"/>
    <n v="3"/>
    <n v="55000"/>
    <n v="165000"/>
    <s v="High Value"/>
    <x v="0"/>
    <s v="Cancelled"/>
    <x v="5"/>
    <s v="Q3"/>
    <n v="2025"/>
  </r>
  <r>
    <n v="195"/>
    <d v="2025-07-30T00:00:00"/>
    <x v="4"/>
    <s v="EMP006"/>
    <s v="CUST6014"/>
    <x v="1"/>
    <s v="Electronics"/>
    <n v="2"/>
    <n v="1200"/>
    <n v="2400"/>
    <s v="Low Value"/>
    <x v="3"/>
    <s v="Completed"/>
    <x v="5"/>
    <s v="Q3"/>
    <n v="2025"/>
  </r>
  <r>
    <n v="196"/>
    <d v="2025-04-29T00:00:00"/>
    <x v="0"/>
    <s v="EMP010"/>
    <s v="CUST2956"/>
    <x v="0"/>
    <s v="Electronics"/>
    <n v="5"/>
    <n v="55000"/>
    <n v="275000"/>
    <s v="High Value"/>
    <x v="1"/>
    <s v="Completed"/>
    <x v="0"/>
    <s v="Q2"/>
    <n v="2025"/>
  </r>
  <r>
    <n v="197"/>
    <d v="2025-01-13T00:00:00"/>
    <x v="0"/>
    <s v="EMP016"/>
    <s v="CUST7084"/>
    <x v="2"/>
    <s v="Furniture"/>
    <n v="1"/>
    <n v="3500"/>
    <n v="3500"/>
    <s v="Low Value"/>
    <x v="0"/>
    <s v="Completed"/>
    <x v="3"/>
    <s v="Q1"/>
    <n v="2025"/>
  </r>
  <r>
    <n v="198"/>
    <d v="2025-09-18T00:00:00"/>
    <x v="0"/>
    <s v="EMP018"/>
    <s v="CUST1910"/>
    <x v="1"/>
    <s v="Electronics"/>
    <n v="8"/>
    <n v="1200"/>
    <n v="9600"/>
    <s v="Low Value"/>
    <x v="2"/>
    <s v="Completed"/>
    <x v="1"/>
    <s v="Q3"/>
    <n v="2025"/>
  </r>
  <r>
    <n v="199"/>
    <d v="2025-07-04T00:00:00"/>
    <x v="2"/>
    <s v="EMP002"/>
    <s v="CUST9802"/>
    <x v="5"/>
    <s v="Electronics"/>
    <n v="5"/>
    <n v="9000"/>
    <n v="45000"/>
    <s v="Medium Value"/>
    <x v="2"/>
    <s v="Completed"/>
    <x v="5"/>
    <s v="Q3"/>
    <n v="2025"/>
  </r>
  <r>
    <n v="200"/>
    <d v="2025-09-19T00:00:00"/>
    <x v="4"/>
    <s v="EMP014"/>
    <s v="CUST6823"/>
    <x v="5"/>
    <s v="Electronics"/>
    <n v="4"/>
    <n v="9000"/>
    <n v="36000"/>
    <s v="Medium Value"/>
    <x v="1"/>
    <s v="Completed"/>
    <x v="1"/>
    <s v="Q3"/>
    <n v="2025"/>
  </r>
  <r>
    <n v="201"/>
    <d v="2025-04-24T00:00:00"/>
    <x v="1"/>
    <s v="EMP013"/>
    <s v="CUST9800"/>
    <x v="3"/>
    <s v="Furniture"/>
    <n v="5"/>
    <n v="7000"/>
    <n v="35000"/>
    <s v="Medium Value"/>
    <x v="2"/>
    <s v="Completed"/>
    <x v="0"/>
    <s v="Q2"/>
    <n v="2025"/>
  </r>
  <r>
    <n v="202"/>
    <d v="2025-10-07T00:00:00"/>
    <x v="1"/>
    <s v="EMP002"/>
    <s v="CUST1735"/>
    <x v="1"/>
    <s v="Electronics"/>
    <n v="8"/>
    <n v="1200"/>
    <n v="9600"/>
    <s v="Low Value"/>
    <x v="1"/>
    <s v="Cancelled"/>
    <x v="4"/>
    <s v="Q4"/>
    <n v="2025"/>
  </r>
  <r>
    <n v="203"/>
    <d v="2025-02-07T00:00:00"/>
    <x v="3"/>
    <s v="EMP006"/>
    <s v="CUST4885"/>
    <x v="5"/>
    <s v="Electronics"/>
    <n v="10"/>
    <n v="9000"/>
    <n v="90000"/>
    <s v="Medium Value"/>
    <x v="2"/>
    <s v="Completed"/>
    <x v="8"/>
    <s v="Q1"/>
    <n v="2025"/>
  </r>
  <r>
    <n v="204"/>
    <d v="2025-03-03T00:00:00"/>
    <x v="3"/>
    <s v="EMP020"/>
    <s v="CUST5526"/>
    <x v="3"/>
    <s v="Furniture"/>
    <n v="4"/>
    <n v="7000"/>
    <n v="28000"/>
    <s v="Low Value"/>
    <x v="0"/>
    <s v="Completed"/>
    <x v="2"/>
    <s v="Q1"/>
    <n v="2025"/>
  </r>
  <r>
    <n v="205"/>
    <d v="2025-06-18T00:00:00"/>
    <x v="0"/>
    <s v="EMP008"/>
    <s v="CUST4917"/>
    <x v="2"/>
    <s v="Furniture"/>
    <n v="6"/>
    <n v="3500"/>
    <n v="21000"/>
    <s v="Low Value"/>
    <x v="2"/>
    <s v="Completed"/>
    <x v="6"/>
    <s v="Q2"/>
    <n v="2025"/>
  </r>
  <r>
    <n v="206"/>
    <d v="2025-11-18T00:00:00"/>
    <x v="3"/>
    <s v="EMP009"/>
    <s v="CUST7817"/>
    <x v="2"/>
    <s v="Furniture"/>
    <n v="7"/>
    <n v="3500"/>
    <n v="24500"/>
    <s v="Low Value"/>
    <x v="0"/>
    <s v="Completed"/>
    <x v="7"/>
    <s v="Q4"/>
    <n v="2025"/>
  </r>
  <r>
    <n v="207"/>
    <d v="2025-08-07T00:00:00"/>
    <x v="4"/>
    <s v="EMP005"/>
    <s v="CUST1143"/>
    <x v="3"/>
    <s v="Furniture"/>
    <n v="7"/>
    <n v="7000"/>
    <n v="49000"/>
    <s v="Medium Value"/>
    <x v="2"/>
    <s v="Completed"/>
    <x v="11"/>
    <s v="Q3"/>
    <n v="2025"/>
  </r>
  <r>
    <n v="208"/>
    <d v="2025-10-01T00:00:00"/>
    <x v="1"/>
    <s v="EMP002"/>
    <s v="CUST2099"/>
    <x v="2"/>
    <s v="Furniture"/>
    <n v="2"/>
    <n v="3500"/>
    <n v="7000"/>
    <s v="Low Value"/>
    <x v="0"/>
    <s v="Completed"/>
    <x v="4"/>
    <s v="Q4"/>
    <n v="2025"/>
  </r>
  <r>
    <n v="209"/>
    <d v="2025-04-23T00:00:00"/>
    <x v="0"/>
    <s v="EMP006"/>
    <s v="CUST6596"/>
    <x v="2"/>
    <s v="Furniture"/>
    <n v="4"/>
    <n v="3500"/>
    <n v="14000"/>
    <s v="Low Value"/>
    <x v="0"/>
    <s v="Pending"/>
    <x v="0"/>
    <s v="Q2"/>
    <n v="2025"/>
  </r>
  <r>
    <n v="210"/>
    <d v="2025-03-19T00:00:00"/>
    <x v="4"/>
    <s v="EMP018"/>
    <s v="CUST2946"/>
    <x v="4"/>
    <s v="Electronics"/>
    <n v="3"/>
    <n v="500"/>
    <n v="1500"/>
    <s v="Low Value"/>
    <x v="2"/>
    <s v="Completed"/>
    <x v="2"/>
    <s v="Q1"/>
    <n v="2025"/>
  </r>
  <r>
    <n v="211"/>
    <d v="2025-08-31T00:00:00"/>
    <x v="0"/>
    <s v="EMP002"/>
    <s v="CUST1625"/>
    <x v="1"/>
    <s v="Electronics"/>
    <n v="5"/>
    <n v="1200"/>
    <n v="6000"/>
    <s v="Low Value"/>
    <x v="2"/>
    <s v="Completed"/>
    <x v="11"/>
    <s v="Q3"/>
    <n v="2025"/>
  </r>
  <r>
    <n v="212"/>
    <d v="2025-11-27T00:00:00"/>
    <x v="3"/>
    <s v="EMP004"/>
    <s v="CUST9572"/>
    <x v="2"/>
    <s v="Furniture"/>
    <n v="1"/>
    <n v="3500"/>
    <n v="3500"/>
    <s v="Low Value"/>
    <x v="1"/>
    <s v="Completed"/>
    <x v="7"/>
    <s v="Q4"/>
    <n v="2025"/>
  </r>
  <r>
    <n v="213"/>
    <d v="2025-01-18T00:00:00"/>
    <x v="2"/>
    <s v="EMP018"/>
    <s v="CUST9386"/>
    <x v="2"/>
    <s v="Furniture"/>
    <n v="6"/>
    <n v="3500"/>
    <n v="21000"/>
    <s v="Low Value"/>
    <x v="0"/>
    <s v="Completed"/>
    <x v="3"/>
    <s v="Q1"/>
    <n v="2025"/>
  </r>
  <r>
    <n v="214"/>
    <d v="2025-04-06T00:00:00"/>
    <x v="2"/>
    <s v="EMP019"/>
    <s v="CUST7878"/>
    <x v="3"/>
    <s v="Furniture"/>
    <n v="1"/>
    <n v="7000"/>
    <n v="7000"/>
    <s v="Low Value"/>
    <x v="0"/>
    <s v="Completed"/>
    <x v="0"/>
    <s v="Q2"/>
    <n v="2025"/>
  </r>
  <r>
    <n v="215"/>
    <d v="2025-02-12T00:00:00"/>
    <x v="1"/>
    <s v="EMP020"/>
    <s v="CUST1467"/>
    <x v="2"/>
    <s v="Furniture"/>
    <n v="3"/>
    <n v="3500"/>
    <n v="10500"/>
    <s v="Low Value"/>
    <x v="1"/>
    <s v="Pending"/>
    <x v="8"/>
    <s v="Q1"/>
    <n v="2025"/>
  </r>
  <r>
    <n v="216"/>
    <d v="2025-09-11T00:00:00"/>
    <x v="0"/>
    <s v="EMP004"/>
    <s v="CUST9376"/>
    <x v="1"/>
    <s v="Electronics"/>
    <n v="9"/>
    <n v="1200"/>
    <n v="10800"/>
    <s v="Low Value"/>
    <x v="3"/>
    <s v="Completed"/>
    <x v="1"/>
    <s v="Q3"/>
    <n v="2025"/>
  </r>
  <r>
    <n v="217"/>
    <d v="2025-02-07T00:00:00"/>
    <x v="3"/>
    <s v="EMP011"/>
    <s v="CUST6153"/>
    <x v="3"/>
    <s v="Furniture"/>
    <n v="3"/>
    <n v="7000"/>
    <n v="21000"/>
    <s v="Low Value"/>
    <x v="3"/>
    <s v="Completed"/>
    <x v="8"/>
    <s v="Q1"/>
    <n v="2025"/>
  </r>
  <r>
    <n v="218"/>
    <d v="2025-07-26T00:00:00"/>
    <x v="0"/>
    <s v="EMP013"/>
    <s v="CUST5150"/>
    <x v="4"/>
    <s v="Electronics"/>
    <n v="5"/>
    <n v="500"/>
    <n v="2500"/>
    <s v="Low Value"/>
    <x v="3"/>
    <s v="Completed"/>
    <x v="5"/>
    <s v="Q3"/>
    <n v="2025"/>
  </r>
  <r>
    <n v="219"/>
    <d v="2025-08-11T00:00:00"/>
    <x v="2"/>
    <s v="EMP006"/>
    <s v="CUST6745"/>
    <x v="4"/>
    <s v="Electronics"/>
    <n v="3"/>
    <n v="500"/>
    <n v="1500"/>
    <s v="Low Value"/>
    <x v="2"/>
    <s v="Completed"/>
    <x v="11"/>
    <s v="Q3"/>
    <n v="2025"/>
  </r>
  <r>
    <n v="220"/>
    <d v="2025-09-14T00:00:00"/>
    <x v="1"/>
    <s v="EMP014"/>
    <s v="CUST9598"/>
    <x v="4"/>
    <s v="Electronics"/>
    <n v="1"/>
    <n v="500"/>
    <n v="500"/>
    <s v="Low Value"/>
    <x v="1"/>
    <s v="Pending"/>
    <x v="1"/>
    <s v="Q3"/>
    <n v="2025"/>
  </r>
  <r>
    <n v="221"/>
    <d v="2025-03-22T00:00:00"/>
    <x v="1"/>
    <s v="EMP004"/>
    <s v="CUST1229"/>
    <x v="1"/>
    <s v="Electronics"/>
    <n v="3"/>
    <n v="1200"/>
    <n v="3600"/>
    <s v="Low Value"/>
    <x v="3"/>
    <s v="Completed"/>
    <x v="2"/>
    <s v="Q1"/>
    <n v="2025"/>
  </r>
  <r>
    <n v="222"/>
    <d v="2025-05-10T00:00:00"/>
    <x v="1"/>
    <s v="EMP015"/>
    <s v="CUST5479"/>
    <x v="1"/>
    <s v="Electronics"/>
    <n v="3"/>
    <n v="1200"/>
    <n v="3600"/>
    <s v="Low Value"/>
    <x v="1"/>
    <s v="Completed"/>
    <x v="9"/>
    <s v="Q2"/>
    <n v="2025"/>
  </r>
  <r>
    <n v="223"/>
    <d v="2025-11-02T00:00:00"/>
    <x v="0"/>
    <s v="EMP007"/>
    <s v="CUST5224"/>
    <x v="0"/>
    <s v="Electronics"/>
    <n v="6"/>
    <n v="55000"/>
    <n v="330000"/>
    <s v="High Value"/>
    <x v="3"/>
    <s v="Pending"/>
    <x v="7"/>
    <s v="Q4"/>
    <n v="2025"/>
  </r>
  <r>
    <n v="224"/>
    <d v="2025-05-10T00:00:00"/>
    <x v="3"/>
    <s v="EMP002"/>
    <s v="CUST3647"/>
    <x v="5"/>
    <s v="Electronics"/>
    <n v="5"/>
    <n v="9000"/>
    <n v="45000"/>
    <s v="Medium Value"/>
    <x v="2"/>
    <s v="Pending"/>
    <x v="9"/>
    <s v="Q2"/>
    <n v="2025"/>
  </r>
  <r>
    <n v="225"/>
    <d v="2025-12-29T00:00:00"/>
    <x v="1"/>
    <s v="EMP007"/>
    <s v="CUST8704"/>
    <x v="2"/>
    <s v="Furniture"/>
    <n v="10"/>
    <n v="3500"/>
    <n v="35000"/>
    <s v="Medium Value"/>
    <x v="3"/>
    <s v="Completed"/>
    <x v="10"/>
    <s v="Q4"/>
    <n v="2025"/>
  </r>
  <r>
    <n v="226"/>
    <d v="2025-08-29T00:00:00"/>
    <x v="4"/>
    <s v="EMP012"/>
    <s v="CUST8202"/>
    <x v="3"/>
    <s v="Furniture"/>
    <n v="6"/>
    <n v="7000"/>
    <n v="42000"/>
    <s v="Medium Value"/>
    <x v="3"/>
    <s v="Completed"/>
    <x v="11"/>
    <s v="Q3"/>
    <n v="2025"/>
  </r>
  <r>
    <n v="227"/>
    <d v="2025-07-05T00:00:00"/>
    <x v="2"/>
    <s v="EMP014"/>
    <s v="CUST3734"/>
    <x v="0"/>
    <s v="Electronics"/>
    <n v="5"/>
    <n v="55000"/>
    <n v="275000"/>
    <s v="High Value"/>
    <x v="0"/>
    <s v="Completed"/>
    <x v="5"/>
    <s v="Q3"/>
    <n v="2025"/>
  </r>
  <r>
    <n v="228"/>
    <d v="2025-06-01T00:00:00"/>
    <x v="2"/>
    <s v="EMP013"/>
    <s v="CUST3016"/>
    <x v="5"/>
    <s v="Electronics"/>
    <n v="5"/>
    <n v="9000"/>
    <n v="45000"/>
    <s v="Medium Value"/>
    <x v="0"/>
    <s v="Completed"/>
    <x v="6"/>
    <s v="Q2"/>
    <n v="2025"/>
  </r>
  <r>
    <n v="229"/>
    <d v="2025-11-29T00:00:00"/>
    <x v="0"/>
    <s v="EMP015"/>
    <s v="CUST8342"/>
    <x v="0"/>
    <s v="Electronics"/>
    <n v="8"/>
    <n v="55000"/>
    <n v="440000"/>
    <s v="High Value"/>
    <x v="2"/>
    <s v="Cancelled"/>
    <x v="7"/>
    <s v="Q4"/>
    <n v="2025"/>
  </r>
  <r>
    <n v="230"/>
    <d v="2025-02-11T00:00:00"/>
    <x v="4"/>
    <s v="EMP014"/>
    <s v="CUST9376"/>
    <x v="5"/>
    <s v="Electronics"/>
    <n v="10"/>
    <n v="9000"/>
    <n v="90000"/>
    <s v="Medium Value"/>
    <x v="3"/>
    <s v="Completed"/>
    <x v="8"/>
    <s v="Q1"/>
    <n v="2025"/>
  </r>
  <r>
    <n v="231"/>
    <d v="2025-08-09T00:00:00"/>
    <x v="2"/>
    <s v="EMP002"/>
    <s v="CUST2036"/>
    <x v="2"/>
    <s v="Furniture"/>
    <n v="2"/>
    <n v="3500"/>
    <n v="7000"/>
    <s v="Low Value"/>
    <x v="2"/>
    <s v="Pending"/>
    <x v="11"/>
    <s v="Q3"/>
    <n v="2025"/>
  </r>
  <r>
    <n v="232"/>
    <d v="2025-04-30T00:00:00"/>
    <x v="1"/>
    <s v="EMP004"/>
    <s v="CUST3794"/>
    <x v="2"/>
    <s v="Furniture"/>
    <n v="6"/>
    <n v="3500"/>
    <n v="21000"/>
    <s v="Low Value"/>
    <x v="2"/>
    <s v="Pending"/>
    <x v="0"/>
    <s v="Q2"/>
    <n v="2025"/>
  </r>
  <r>
    <n v="233"/>
    <d v="2025-12-01T00:00:00"/>
    <x v="1"/>
    <s v="EMP004"/>
    <s v="CUST4990"/>
    <x v="0"/>
    <s v="Electronics"/>
    <n v="2"/>
    <n v="55000"/>
    <n v="110000"/>
    <s v="High Value"/>
    <x v="3"/>
    <s v="Completed"/>
    <x v="10"/>
    <s v="Q4"/>
    <n v="2025"/>
  </r>
  <r>
    <n v="234"/>
    <d v="2025-05-24T00:00:00"/>
    <x v="3"/>
    <s v="EMP012"/>
    <s v="CUST9954"/>
    <x v="4"/>
    <s v="Electronics"/>
    <n v="1"/>
    <n v="500"/>
    <n v="500"/>
    <s v="Low Value"/>
    <x v="0"/>
    <s v="Completed"/>
    <x v="9"/>
    <s v="Q2"/>
    <n v="2025"/>
  </r>
  <r>
    <n v="235"/>
    <d v="2025-04-26T00:00:00"/>
    <x v="3"/>
    <s v="EMP004"/>
    <s v="CUST2400"/>
    <x v="2"/>
    <s v="Furniture"/>
    <n v="1"/>
    <n v="3500"/>
    <n v="3500"/>
    <s v="Low Value"/>
    <x v="2"/>
    <s v="Cancelled"/>
    <x v="0"/>
    <s v="Q2"/>
    <n v="2025"/>
  </r>
  <r>
    <n v="236"/>
    <d v="2025-10-13T00:00:00"/>
    <x v="2"/>
    <s v="EMP014"/>
    <s v="CUST2694"/>
    <x v="5"/>
    <s v="Electronics"/>
    <n v="10"/>
    <n v="9000"/>
    <n v="90000"/>
    <s v="Medium Value"/>
    <x v="0"/>
    <s v="Completed"/>
    <x v="4"/>
    <s v="Q4"/>
    <n v="2025"/>
  </r>
  <r>
    <n v="237"/>
    <d v="2025-06-06T00:00:00"/>
    <x v="0"/>
    <s v="EMP003"/>
    <s v="CUST1541"/>
    <x v="4"/>
    <s v="Electronics"/>
    <n v="3"/>
    <n v="500"/>
    <n v="1500"/>
    <s v="Low Value"/>
    <x v="3"/>
    <s v="Completed"/>
    <x v="6"/>
    <s v="Q2"/>
    <n v="2025"/>
  </r>
  <r>
    <n v="238"/>
    <d v="2025-06-20T00:00:00"/>
    <x v="0"/>
    <s v="EMP008"/>
    <s v="CUST9242"/>
    <x v="5"/>
    <s v="Electronics"/>
    <n v="8"/>
    <n v="9000"/>
    <n v="72000"/>
    <s v="Medium Value"/>
    <x v="2"/>
    <s v="Completed"/>
    <x v="6"/>
    <s v="Q2"/>
    <n v="2025"/>
  </r>
  <r>
    <n v="239"/>
    <d v="2025-11-07T00:00:00"/>
    <x v="3"/>
    <s v="EMP004"/>
    <s v="CUST8356"/>
    <x v="2"/>
    <s v="Furniture"/>
    <n v="8"/>
    <n v="3500"/>
    <n v="28000"/>
    <s v="Low Value"/>
    <x v="1"/>
    <s v="Completed"/>
    <x v="7"/>
    <s v="Q4"/>
    <n v="2025"/>
  </r>
  <r>
    <n v="240"/>
    <d v="2025-11-27T00:00:00"/>
    <x v="0"/>
    <s v="EMP011"/>
    <s v="CUST3853"/>
    <x v="0"/>
    <s v="Electronics"/>
    <n v="7"/>
    <n v="55000"/>
    <n v="385000"/>
    <s v="High Value"/>
    <x v="2"/>
    <s v="Pending"/>
    <x v="7"/>
    <s v="Q4"/>
    <n v="2025"/>
  </r>
  <r>
    <n v="241"/>
    <d v="2025-11-09T00:00:00"/>
    <x v="4"/>
    <s v="EMP020"/>
    <s v="CUST3155"/>
    <x v="5"/>
    <s v="Electronics"/>
    <n v="8"/>
    <n v="9000"/>
    <n v="72000"/>
    <s v="Medium Value"/>
    <x v="2"/>
    <s v="Completed"/>
    <x v="7"/>
    <s v="Q4"/>
    <n v="2025"/>
  </r>
  <r>
    <n v="242"/>
    <d v="2025-04-29T00:00:00"/>
    <x v="2"/>
    <s v="EMP013"/>
    <s v="CUST1049"/>
    <x v="3"/>
    <s v="Furniture"/>
    <n v="7"/>
    <n v="7000"/>
    <n v="49000"/>
    <s v="Medium Value"/>
    <x v="0"/>
    <s v="Completed"/>
    <x v="0"/>
    <s v="Q2"/>
    <n v="2025"/>
  </r>
  <r>
    <n v="243"/>
    <d v="2025-02-26T00:00:00"/>
    <x v="2"/>
    <s v="EMP006"/>
    <s v="CUST5279"/>
    <x v="3"/>
    <s v="Furniture"/>
    <n v="9"/>
    <n v="7000"/>
    <n v="63000"/>
    <s v="Medium Value"/>
    <x v="0"/>
    <s v="Completed"/>
    <x v="8"/>
    <s v="Q1"/>
    <n v="2025"/>
  </r>
  <r>
    <n v="244"/>
    <d v="2025-08-31T00:00:00"/>
    <x v="4"/>
    <s v="EMP013"/>
    <s v="CUST5189"/>
    <x v="0"/>
    <s v="Electronics"/>
    <n v="4"/>
    <n v="55000"/>
    <n v="220000"/>
    <s v="High Value"/>
    <x v="1"/>
    <s v="Completed"/>
    <x v="11"/>
    <s v="Q3"/>
    <n v="2025"/>
  </r>
  <r>
    <n v="245"/>
    <d v="2025-05-06T00:00:00"/>
    <x v="0"/>
    <s v="EMP006"/>
    <s v="CUST1666"/>
    <x v="3"/>
    <s v="Furniture"/>
    <n v="10"/>
    <n v="7000"/>
    <n v="70000"/>
    <s v="Medium Value"/>
    <x v="2"/>
    <s v="Completed"/>
    <x v="9"/>
    <s v="Q2"/>
    <n v="2025"/>
  </r>
  <r>
    <n v="246"/>
    <d v="2025-01-29T00:00:00"/>
    <x v="0"/>
    <s v="EMP007"/>
    <s v="CUST2192"/>
    <x v="2"/>
    <s v="Furniture"/>
    <n v="7"/>
    <n v="3500"/>
    <n v="24500"/>
    <s v="Low Value"/>
    <x v="1"/>
    <s v="Completed"/>
    <x v="3"/>
    <s v="Q1"/>
    <n v="2025"/>
  </r>
  <r>
    <n v="247"/>
    <d v="2025-11-06T00:00:00"/>
    <x v="1"/>
    <s v="EMP011"/>
    <s v="CUST4004"/>
    <x v="0"/>
    <s v="Electronics"/>
    <n v="1"/>
    <n v="55000"/>
    <n v="55000"/>
    <s v="Medium Value"/>
    <x v="2"/>
    <s v="Completed"/>
    <x v="7"/>
    <s v="Q4"/>
    <n v="2025"/>
  </r>
  <r>
    <n v="248"/>
    <d v="2025-12-22T00:00:00"/>
    <x v="1"/>
    <s v="EMP011"/>
    <s v="CUST4630"/>
    <x v="1"/>
    <s v="Electronics"/>
    <n v="10"/>
    <n v="1200"/>
    <n v="12000"/>
    <s v="Low Value"/>
    <x v="1"/>
    <s v="Pending"/>
    <x v="10"/>
    <s v="Q4"/>
    <n v="2025"/>
  </r>
  <r>
    <n v="249"/>
    <d v="2025-05-04T00:00:00"/>
    <x v="0"/>
    <s v="EMP010"/>
    <s v="CUST9274"/>
    <x v="2"/>
    <s v="Furniture"/>
    <n v="10"/>
    <n v="3500"/>
    <n v="35000"/>
    <s v="Medium Value"/>
    <x v="3"/>
    <s v="Completed"/>
    <x v="9"/>
    <s v="Q2"/>
    <n v="2025"/>
  </r>
  <r>
    <n v="250"/>
    <d v="2025-12-03T00:00:00"/>
    <x v="3"/>
    <s v="EMP008"/>
    <s v="CUST5299"/>
    <x v="1"/>
    <s v="Electronics"/>
    <n v="1"/>
    <n v="1200"/>
    <n v="1200"/>
    <s v="Low Value"/>
    <x v="1"/>
    <s v="Pending"/>
    <x v="10"/>
    <s v="Q4"/>
    <n v="2025"/>
  </r>
  <r>
    <n v="251"/>
    <d v="2025-05-19T00:00:00"/>
    <x v="3"/>
    <s v="EMP006"/>
    <s v="CUST2214"/>
    <x v="1"/>
    <s v="Electronics"/>
    <n v="8"/>
    <n v="1200"/>
    <n v="9600"/>
    <s v="Low Value"/>
    <x v="3"/>
    <s v="Completed"/>
    <x v="9"/>
    <s v="Q2"/>
    <n v="2025"/>
  </r>
  <r>
    <n v="252"/>
    <d v="2025-04-03T00:00:00"/>
    <x v="2"/>
    <s v="EMP018"/>
    <s v="CUST1150"/>
    <x v="0"/>
    <s v="Electronics"/>
    <n v="5"/>
    <n v="55000"/>
    <n v="275000"/>
    <s v="High Value"/>
    <x v="3"/>
    <s v="Pending"/>
    <x v="0"/>
    <s v="Q2"/>
    <n v="2025"/>
  </r>
  <r>
    <n v="253"/>
    <d v="2025-04-13T00:00:00"/>
    <x v="0"/>
    <s v="EMP011"/>
    <s v="CUST4744"/>
    <x v="2"/>
    <s v="Furniture"/>
    <n v="1"/>
    <n v="3500"/>
    <n v="3500"/>
    <s v="Low Value"/>
    <x v="1"/>
    <s v="Completed"/>
    <x v="0"/>
    <s v="Q2"/>
    <n v="2025"/>
  </r>
  <r>
    <n v="254"/>
    <d v="2025-11-27T00:00:00"/>
    <x v="0"/>
    <s v="EMP006"/>
    <s v="CUST5918"/>
    <x v="1"/>
    <s v="Electronics"/>
    <n v="3"/>
    <n v="1200"/>
    <n v="3600"/>
    <s v="Low Value"/>
    <x v="1"/>
    <s v="Completed"/>
    <x v="7"/>
    <s v="Q4"/>
    <n v="2025"/>
  </r>
  <r>
    <n v="255"/>
    <d v="2025-10-14T00:00:00"/>
    <x v="3"/>
    <s v="EMP003"/>
    <s v="CUST4934"/>
    <x v="2"/>
    <s v="Furniture"/>
    <n v="5"/>
    <n v="3500"/>
    <n v="17500"/>
    <s v="Low Value"/>
    <x v="0"/>
    <s v="Pending"/>
    <x v="4"/>
    <s v="Q4"/>
    <n v="2025"/>
  </r>
  <r>
    <n v="256"/>
    <d v="2025-02-09T00:00:00"/>
    <x v="4"/>
    <s v="EMP002"/>
    <s v="CUST8548"/>
    <x v="1"/>
    <s v="Electronics"/>
    <n v="7"/>
    <n v="1200"/>
    <n v="8400"/>
    <s v="Low Value"/>
    <x v="3"/>
    <s v="Completed"/>
    <x v="8"/>
    <s v="Q1"/>
    <n v="2025"/>
  </r>
  <r>
    <n v="257"/>
    <d v="2025-11-04T00:00:00"/>
    <x v="3"/>
    <s v="EMP009"/>
    <s v="CUST1781"/>
    <x v="3"/>
    <s v="Furniture"/>
    <n v="6"/>
    <n v="7000"/>
    <n v="42000"/>
    <s v="Medium Value"/>
    <x v="3"/>
    <s v="Completed"/>
    <x v="7"/>
    <s v="Q4"/>
    <n v="2025"/>
  </r>
  <r>
    <n v="258"/>
    <d v="2025-08-21T00:00:00"/>
    <x v="2"/>
    <s v="EMP005"/>
    <s v="CUST9525"/>
    <x v="3"/>
    <s v="Furniture"/>
    <n v="10"/>
    <n v="7000"/>
    <n v="70000"/>
    <s v="Medium Value"/>
    <x v="1"/>
    <s v="Completed"/>
    <x v="11"/>
    <s v="Q3"/>
    <n v="2025"/>
  </r>
  <r>
    <n v="259"/>
    <d v="2025-06-20T00:00:00"/>
    <x v="0"/>
    <s v="EMP006"/>
    <s v="CUST7010"/>
    <x v="0"/>
    <s v="Electronics"/>
    <n v="9"/>
    <n v="55000"/>
    <n v="495000"/>
    <s v="High Value"/>
    <x v="2"/>
    <s v="Completed"/>
    <x v="6"/>
    <s v="Q2"/>
    <n v="2025"/>
  </r>
  <r>
    <n v="260"/>
    <d v="2025-01-21T00:00:00"/>
    <x v="1"/>
    <s v="EMP008"/>
    <s v="CUST5139"/>
    <x v="1"/>
    <s v="Electronics"/>
    <n v="4"/>
    <n v="1200"/>
    <n v="4800"/>
    <s v="Low Value"/>
    <x v="2"/>
    <s v="Pending"/>
    <x v="3"/>
    <s v="Q1"/>
    <n v="2025"/>
  </r>
  <r>
    <n v="261"/>
    <d v="2025-01-05T00:00:00"/>
    <x v="3"/>
    <s v="EMP010"/>
    <s v="CUST5138"/>
    <x v="0"/>
    <s v="Electronics"/>
    <n v="8"/>
    <n v="55000"/>
    <n v="440000"/>
    <s v="High Value"/>
    <x v="0"/>
    <s v="Completed"/>
    <x v="3"/>
    <s v="Q1"/>
    <n v="2025"/>
  </r>
  <r>
    <n v="262"/>
    <d v="2025-06-25T00:00:00"/>
    <x v="0"/>
    <s v="EMP008"/>
    <s v="CUST3078"/>
    <x v="4"/>
    <s v="Electronics"/>
    <n v="4"/>
    <n v="500"/>
    <n v="2000"/>
    <s v="Low Value"/>
    <x v="2"/>
    <s v="Completed"/>
    <x v="6"/>
    <s v="Q2"/>
    <n v="2025"/>
  </r>
  <r>
    <n v="263"/>
    <d v="2025-07-11T00:00:00"/>
    <x v="3"/>
    <s v="EMP010"/>
    <s v="CUST5261"/>
    <x v="0"/>
    <s v="Electronics"/>
    <n v="7"/>
    <n v="55000"/>
    <n v="385000"/>
    <s v="High Value"/>
    <x v="3"/>
    <s v="Completed"/>
    <x v="5"/>
    <s v="Q3"/>
    <n v="2025"/>
  </r>
  <r>
    <n v="264"/>
    <d v="2025-12-20T00:00:00"/>
    <x v="4"/>
    <s v="EMP019"/>
    <s v="CUST1535"/>
    <x v="4"/>
    <s v="Electronics"/>
    <n v="8"/>
    <n v="500"/>
    <n v="4000"/>
    <s v="Low Value"/>
    <x v="2"/>
    <s v="Pending"/>
    <x v="10"/>
    <s v="Q4"/>
    <n v="2025"/>
  </r>
  <r>
    <n v="265"/>
    <d v="2025-06-01T00:00:00"/>
    <x v="4"/>
    <s v="EMP015"/>
    <s v="CUST1686"/>
    <x v="3"/>
    <s v="Furniture"/>
    <n v="7"/>
    <n v="7000"/>
    <n v="49000"/>
    <s v="Medium Value"/>
    <x v="3"/>
    <s v="Completed"/>
    <x v="6"/>
    <s v="Q2"/>
    <n v="2025"/>
  </r>
  <r>
    <n v="266"/>
    <d v="2025-08-30T00:00:00"/>
    <x v="3"/>
    <s v="EMP002"/>
    <s v="CUST4066"/>
    <x v="1"/>
    <s v="Electronics"/>
    <n v="1"/>
    <n v="1200"/>
    <n v="1200"/>
    <s v="Low Value"/>
    <x v="3"/>
    <s v="Pending"/>
    <x v="11"/>
    <s v="Q3"/>
    <n v="2025"/>
  </r>
  <r>
    <n v="267"/>
    <d v="2025-10-07T00:00:00"/>
    <x v="4"/>
    <s v="EMP010"/>
    <s v="CUST6529"/>
    <x v="5"/>
    <s v="Electronics"/>
    <n v="2"/>
    <n v="9000"/>
    <n v="18000"/>
    <s v="Low Value"/>
    <x v="1"/>
    <s v="Completed"/>
    <x v="4"/>
    <s v="Q4"/>
    <n v="2025"/>
  </r>
  <r>
    <n v="268"/>
    <d v="2025-02-26T00:00:00"/>
    <x v="2"/>
    <s v="EMP012"/>
    <s v="CUST7697"/>
    <x v="4"/>
    <s v="Electronics"/>
    <n v="1"/>
    <n v="500"/>
    <n v="500"/>
    <s v="Low Value"/>
    <x v="0"/>
    <s v="Completed"/>
    <x v="8"/>
    <s v="Q1"/>
    <n v="2025"/>
  </r>
  <r>
    <n v="269"/>
    <d v="2025-05-08T00:00:00"/>
    <x v="2"/>
    <s v="EMP016"/>
    <s v="CUST6736"/>
    <x v="5"/>
    <s v="Electronics"/>
    <n v="2"/>
    <n v="9000"/>
    <n v="18000"/>
    <s v="Low Value"/>
    <x v="2"/>
    <s v="Pending"/>
    <x v="9"/>
    <s v="Q2"/>
    <n v="2025"/>
  </r>
  <r>
    <n v="270"/>
    <d v="2025-09-30T00:00:00"/>
    <x v="0"/>
    <s v="EMP012"/>
    <s v="CUST7464"/>
    <x v="0"/>
    <s v="Electronics"/>
    <n v="7"/>
    <n v="55000"/>
    <n v="385000"/>
    <s v="High Value"/>
    <x v="3"/>
    <s v="Completed"/>
    <x v="1"/>
    <s v="Q3"/>
    <n v="2025"/>
  </r>
  <r>
    <n v="271"/>
    <d v="2025-12-29T00:00:00"/>
    <x v="0"/>
    <s v="EMP019"/>
    <s v="CUST2138"/>
    <x v="4"/>
    <s v="Electronics"/>
    <n v="9"/>
    <n v="500"/>
    <n v="4500"/>
    <s v="Low Value"/>
    <x v="2"/>
    <s v="Pending"/>
    <x v="10"/>
    <s v="Q4"/>
    <n v="2025"/>
  </r>
  <r>
    <n v="272"/>
    <d v="2025-11-05T00:00:00"/>
    <x v="2"/>
    <s v="EMP017"/>
    <s v="CUST9940"/>
    <x v="5"/>
    <s v="Electronics"/>
    <n v="8"/>
    <n v="9000"/>
    <n v="72000"/>
    <s v="Medium Value"/>
    <x v="2"/>
    <s v="Completed"/>
    <x v="7"/>
    <s v="Q4"/>
    <n v="2025"/>
  </r>
  <r>
    <n v="273"/>
    <d v="2025-02-17T00:00:00"/>
    <x v="1"/>
    <s v="EMP007"/>
    <s v="CUST3088"/>
    <x v="2"/>
    <s v="Furniture"/>
    <n v="3"/>
    <n v="3500"/>
    <n v="10500"/>
    <s v="Low Value"/>
    <x v="0"/>
    <s v="Completed"/>
    <x v="8"/>
    <s v="Q1"/>
    <n v="2025"/>
  </r>
  <r>
    <n v="274"/>
    <d v="2025-04-20T00:00:00"/>
    <x v="2"/>
    <s v="EMP007"/>
    <s v="CUST7173"/>
    <x v="3"/>
    <s v="Furniture"/>
    <n v="10"/>
    <n v="7000"/>
    <n v="70000"/>
    <s v="Medium Value"/>
    <x v="3"/>
    <s v="Pending"/>
    <x v="0"/>
    <s v="Q2"/>
    <n v="2025"/>
  </r>
  <r>
    <n v="275"/>
    <d v="2025-10-05T00:00:00"/>
    <x v="1"/>
    <s v="EMP002"/>
    <s v="CUST8800"/>
    <x v="0"/>
    <s v="Electronics"/>
    <n v="3"/>
    <n v="55000"/>
    <n v="165000"/>
    <s v="High Value"/>
    <x v="3"/>
    <s v="Cancelled"/>
    <x v="4"/>
    <s v="Q4"/>
    <n v="2025"/>
  </r>
  <r>
    <n v="276"/>
    <d v="2025-12-08T00:00:00"/>
    <x v="1"/>
    <s v="EMP019"/>
    <s v="CUST3192"/>
    <x v="4"/>
    <s v="Electronics"/>
    <n v="8"/>
    <n v="500"/>
    <n v="4000"/>
    <s v="Low Value"/>
    <x v="3"/>
    <s v="Completed"/>
    <x v="10"/>
    <s v="Q4"/>
    <n v="2025"/>
  </r>
  <r>
    <n v="277"/>
    <d v="2025-07-28T00:00:00"/>
    <x v="1"/>
    <s v="EMP010"/>
    <s v="CUST6251"/>
    <x v="4"/>
    <s v="Electronics"/>
    <n v="9"/>
    <n v="500"/>
    <n v="4500"/>
    <s v="Low Value"/>
    <x v="3"/>
    <s v="Completed"/>
    <x v="5"/>
    <s v="Q3"/>
    <n v="2025"/>
  </r>
  <r>
    <n v="278"/>
    <d v="2025-10-24T00:00:00"/>
    <x v="1"/>
    <s v="EMP017"/>
    <s v="CUST4663"/>
    <x v="3"/>
    <s v="Furniture"/>
    <n v="3"/>
    <n v="7000"/>
    <n v="21000"/>
    <s v="Low Value"/>
    <x v="1"/>
    <s v="Completed"/>
    <x v="4"/>
    <s v="Q4"/>
    <n v="2025"/>
  </r>
  <r>
    <n v="279"/>
    <d v="2025-12-30T00:00:00"/>
    <x v="2"/>
    <s v="EMP018"/>
    <s v="CUST7740"/>
    <x v="1"/>
    <s v="Electronics"/>
    <n v="10"/>
    <n v="1200"/>
    <n v="12000"/>
    <s v="Low Value"/>
    <x v="3"/>
    <s v="Pending"/>
    <x v="10"/>
    <s v="Q4"/>
    <n v="2025"/>
  </r>
  <r>
    <n v="280"/>
    <d v="2025-08-23T00:00:00"/>
    <x v="2"/>
    <s v="EMP014"/>
    <s v="CUST1200"/>
    <x v="5"/>
    <s v="Electronics"/>
    <n v="7"/>
    <n v="9000"/>
    <n v="63000"/>
    <s v="Medium Value"/>
    <x v="3"/>
    <s v="Pending"/>
    <x v="11"/>
    <s v="Q3"/>
    <n v="2025"/>
  </r>
  <r>
    <n v="281"/>
    <d v="2025-09-11T00:00:00"/>
    <x v="4"/>
    <s v="EMP012"/>
    <s v="CUST6646"/>
    <x v="4"/>
    <s v="Electronics"/>
    <n v="4"/>
    <n v="500"/>
    <n v="2000"/>
    <s v="Low Value"/>
    <x v="3"/>
    <s v="Completed"/>
    <x v="1"/>
    <s v="Q3"/>
    <n v="2025"/>
  </r>
  <r>
    <n v="282"/>
    <d v="2025-09-30T00:00:00"/>
    <x v="3"/>
    <s v="EMP009"/>
    <s v="CUST1138"/>
    <x v="2"/>
    <s v="Furniture"/>
    <n v="2"/>
    <n v="3500"/>
    <n v="7000"/>
    <s v="Low Value"/>
    <x v="1"/>
    <s v="Completed"/>
    <x v="1"/>
    <s v="Q3"/>
    <n v="2025"/>
  </r>
  <r>
    <n v="283"/>
    <d v="2025-03-24T00:00:00"/>
    <x v="1"/>
    <s v="EMP011"/>
    <s v="CUST9540"/>
    <x v="1"/>
    <s v="Electronics"/>
    <n v="1"/>
    <n v="1200"/>
    <n v="1200"/>
    <s v="Low Value"/>
    <x v="0"/>
    <s v="Completed"/>
    <x v="2"/>
    <s v="Q1"/>
    <n v="2025"/>
  </r>
  <r>
    <n v="284"/>
    <d v="2025-03-21T00:00:00"/>
    <x v="2"/>
    <s v="EMP011"/>
    <s v="CUST7442"/>
    <x v="1"/>
    <s v="Electronics"/>
    <n v="10"/>
    <n v="1200"/>
    <n v="12000"/>
    <s v="Low Value"/>
    <x v="2"/>
    <s v="Completed"/>
    <x v="2"/>
    <s v="Q1"/>
    <n v="2025"/>
  </r>
  <r>
    <n v="285"/>
    <d v="2025-03-10T00:00:00"/>
    <x v="4"/>
    <s v="EMP015"/>
    <s v="CUST1486"/>
    <x v="1"/>
    <s v="Electronics"/>
    <n v="9"/>
    <n v="1200"/>
    <n v="10800"/>
    <s v="Low Value"/>
    <x v="1"/>
    <s v="Completed"/>
    <x v="2"/>
    <s v="Q1"/>
    <n v="2025"/>
  </r>
  <r>
    <n v="286"/>
    <d v="2025-02-15T00:00:00"/>
    <x v="4"/>
    <s v="EMP014"/>
    <s v="CUST8602"/>
    <x v="2"/>
    <s v="Furniture"/>
    <n v="2"/>
    <n v="3500"/>
    <n v="7000"/>
    <s v="Low Value"/>
    <x v="3"/>
    <s v="Completed"/>
    <x v="8"/>
    <s v="Q1"/>
    <n v="2025"/>
  </r>
  <r>
    <n v="287"/>
    <d v="2025-05-17T00:00:00"/>
    <x v="1"/>
    <s v="EMP016"/>
    <s v="CUST1872"/>
    <x v="0"/>
    <s v="Electronics"/>
    <n v="2"/>
    <n v="55000"/>
    <n v="110000"/>
    <s v="High Value"/>
    <x v="1"/>
    <s v="Completed"/>
    <x v="9"/>
    <s v="Q2"/>
    <n v="2025"/>
  </r>
  <r>
    <n v="288"/>
    <d v="2025-07-22T00:00:00"/>
    <x v="2"/>
    <s v="EMP010"/>
    <s v="CUST2554"/>
    <x v="3"/>
    <s v="Furniture"/>
    <n v="8"/>
    <n v="7000"/>
    <n v="56000"/>
    <s v="Medium Value"/>
    <x v="2"/>
    <s v="Completed"/>
    <x v="5"/>
    <s v="Q3"/>
    <n v="2025"/>
  </r>
  <r>
    <n v="289"/>
    <d v="2025-08-29T00:00:00"/>
    <x v="4"/>
    <s v="EMP008"/>
    <s v="CUST2038"/>
    <x v="3"/>
    <s v="Furniture"/>
    <n v="9"/>
    <n v="7000"/>
    <n v="63000"/>
    <s v="Medium Value"/>
    <x v="3"/>
    <s v="Completed"/>
    <x v="11"/>
    <s v="Q3"/>
    <n v="2025"/>
  </r>
  <r>
    <n v="290"/>
    <d v="2025-08-11T00:00:00"/>
    <x v="0"/>
    <s v="EMP003"/>
    <s v="CUST9444"/>
    <x v="0"/>
    <s v="Electronics"/>
    <n v="6"/>
    <n v="55000"/>
    <n v="330000"/>
    <s v="High Value"/>
    <x v="2"/>
    <s v="Completed"/>
    <x v="11"/>
    <s v="Q3"/>
    <n v="2025"/>
  </r>
  <r>
    <n v="291"/>
    <d v="2025-06-16T00:00:00"/>
    <x v="1"/>
    <s v="EMP010"/>
    <s v="CUST2632"/>
    <x v="2"/>
    <s v="Furniture"/>
    <n v="2"/>
    <n v="3500"/>
    <n v="7000"/>
    <s v="Low Value"/>
    <x v="0"/>
    <s v="Completed"/>
    <x v="6"/>
    <s v="Q2"/>
    <n v="2025"/>
  </r>
  <r>
    <n v="292"/>
    <d v="2025-08-03T00:00:00"/>
    <x v="1"/>
    <s v="EMP010"/>
    <s v="CUST1089"/>
    <x v="3"/>
    <s v="Furniture"/>
    <n v="4"/>
    <n v="7000"/>
    <n v="28000"/>
    <s v="Low Value"/>
    <x v="1"/>
    <s v="Completed"/>
    <x v="11"/>
    <s v="Q3"/>
    <n v="2025"/>
  </r>
  <r>
    <n v="293"/>
    <d v="2025-11-09T00:00:00"/>
    <x v="2"/>
    <s v="EMP006"/>
    <s v="CUST9654"/>
    <x v="0"/>
    <s v="Electronics"/>
    <n v="3"/>
    <n v="55000"/>
    <n v="165000"/>
    <s v="High Value"/>
    <x v="2"/>
    <s v="Completed"/>
    <x v="7"/>
    <s v="Q4"/>
    <n v="2025"/>
  </r>
  <r>
    <n v="294"/>
    <d v="2025-02-12T00:00:00"/>
    <x v="0"/>
    <s v="EMP006"/>
    <s v="CUST7128"/>
    <x v="4"/>
    <s v="Electronics"/>
    <n v="7"/>
    <n v="500"/>
    <n v="3500"/>
    <s v="Low Value"/>
    <x v="3"/>
    <s v="Completed"/>
    <x v="8"/>
    <s v="Q1"/>
    <n v="2025"/>
  </r>
  <r>
    <n v="295"/>
    <d v="2025-09-28T00:00:00"/>
    <x v="3"/>
    <s v="EMP010"/>
    <s v="CUST6368"/>
    <x v="5"/>
    <s v="Electronics"/>
    <n v="9"/>
    <n v="9000"/>
    <n v="81000"/>
    <s v="Medium Value"/>
    <x v="0"/>
    <s v="Completed"/>
    <x v="1"/>
    <s v="Q3"/>
    <n v="2025"/>
  </r>
  <r>
    <n v="296"/>
    <d v="2025-09-01T00:00:00"/>
    <x v="4"/>
    <s v="EMP016"/>
    <s v="CUST5960"/>
    <x v="4"/>
    <s v="Electronics"/>
    <n v="10"/>
    <n v="500"/>
    <n v="5000"/>
    <s v="Low Value"/>
    <x v="1"/>
    <s v="Cancelled"/>
    <x v="1"/>
    <s v="Q3"/>
    <n v="2025"/>
  </r>
  <r>
    <n v="297"/>
    <d v="2025-11-10T00:00:00"/>
    <x v="2"/>
    <s v="EMP002"/>
    <s v="CUST2958"/>
    <x v="1"/>
    <s v="Electronics"/>
    <n v="2"/>
    <n v="1200"/>
    <n v="2400"/>
    <s v="Low Value"/>
    <x v="0"/>
    <s v="Pending"/>
    <x v="7"/>
    <s v="Q4"/>
    <n v="2025"/>
  </r>
  <r>
    <n v="298"/>
    <d v="2025-07-28T00:00:00"/>
    <x v="4"/>
    <s v="EMP002"/>
    <s v="CUST2852"/>
    <x v="4"/>
    <s v="Electronics"/>
    <n v="7"/>
    <n v="500"/>
    <n v="3500"/>
    <s v="Low Value"/>
    <x v="0"/>
    <s v="Completed"/>
    <x v="5"/>
    <s v="Q3"/>
    <n v="2025"/>
  </r>
  <r>
    <n v="299"/>
    <d v="2025-07-10T00:00:00"/>
    <x v="0"/>
    <s v="EMP001"/>
    <s v="CUST8153"/>
    <x v="4"/>
    <s v="Electronics"/>
    <n v="3"/>
    <n v="500"/>
    <n v="1500"/>
    <s v="Low Value"/>
    <x v="1"/>
    <s v="Completed"/>
    <x v="5"/>
    <s v="Q3"/>
    <n v="2025"/>
  </r>
  <r>
    <n v="300"/>
    <d v="2025-01-14T00:00:00"/>
    <x v="3"/>
    <s v="EMP016"/>
    <s v="CUST3507"/>
    <x v="2"/>
    <s v="Furniture"/>
    <n v="2"/>
    <n v="3500"/>
    <n v="7000"/>
    <s v="Low Value"/>
    <x v="1"/>
    <s v="Completed"/>
    <x v="3"/>
    <s v="Q1"/>
    <n v="2025"/>
  </r>
  <r>
    <n v="301"/>
    <d v="2025-09-10T00:00:00"/>
    <x v="1"/>
    <s v="EMP002"/>
    <s v="CUST3411"/>
    <x v="4"/>
    <s v="Electronics"/>
    <n v="5"/>
    <n v="500"/>
    <n v="2500"/>
    <s v="Low Value"/>
    <x v="1"/>
    <s v="Completed"/>
    <x v="1"/>
    <s v="Q3"/>
    <n v="2025"/>
  </r>
  <r>
    <n v="302"/>
    <d v="2025-03-18T00:00:00"/>
    <x v="0"/>
    <s v="EMP011"/>
    <s v="CUST6403"/>
    <x v="1"/>
    <s v="Electronics"/>
    <n v="5"/>
    <n v="1200"/>
    <n v="6000"/>
    <s v="Low Value"/>
    <x v="1"/>
    <s v="Completed"/>
    <x v="2"/>
    <s v="Q1"/>
    <n v="2025"/>
  </r>
  <r>
    <n v="303"/>
    <d v="2025-04-15T00:00:00"/>
    <x v="3"/>
    <s v="EMP010"/>
    <s v="CUST9215"/>
    <x v="2"/>
    <s v="Furniture"/>
    <n v="5"/>
    <n v="3500"/>
    <n v="17500"/>
    <s v="Low Value"/>
    <x v="2"/>
    <s v="Pending"/>
    <x v="0"/>
    <s v="Q2"/>
    <n v="2025"/>
  </r>
  <r>
    <n v="304"/>
    <d v="2025-05-29T00:00:00"/>
    <x v="0"/>
    <s v="EMP010"/>
    <s v="CUST8205"/>
    <x v="5"/>
    <s v="Electronics"/>
    <n v="10"/>
    <n v="9000"/>
    <n v="90000"/>
    <s v="Medium Value"/>
    <x v="3"/>
    <s v="Completed"/>
    <x v="9"/>
    <s v="Q2"/>
    <n v="2025"/>
  </r>
  <r>
    <n v="305"/>
    <d v="2025-06-17T00:00:00"/>
    <x v="2"/>
    <s v="EMP006"/>
    <s v="CUST9732"/>
    <x v="1"/>
    <s v="Electronics"/>
    <n v="9"/>
    <n v="1200"/>
    <n v="10800"/>
    <s v="Low Value"/>
    <x v="1"/>
    <s v="Cancelled"/>
    <x v="6"/>
    <s v="Q2"/>
    <n v="2025"/>
  </r>
  <r>
    <n v="306"/>
    <d v="2025-01-09T00:00:00"/>
    <x v="3"/>
    <s v="EMP012"/>
    <s v="CUST8744"/>
    <x v="1"/>
    <s v="Electronics"/>
    <n v="7"/>
    <n v="1200"/>
    <n v="8400"/>
    <s v="Low Value"/>
    <x v="0"/>
    <s v="Completed"/>
    <x v="3"/>
    <s v="Q1"/>
    <n v="2025"/>
  </r>
  <r>
    <n v="307"/>
    <d v="2025-08-02T00:00:00"/>
    <x v="1"/>
    <s v="EMP003"/>
    <s v="CUST7638"/>
    <x v="5"/>
    <s v="Electronics"/>
    <n v="8"/>
    <n v="9000"/>
    <n v="72000"/>
    <s v="Medium Value"/>
    <x v="0"/>
    <s v="Completed"/>
    <x v="11"/>
    <s v="Q3"/>
    <n v="2025"/>
  </r>
  <r>
    <n v="308"/>
    <d v="2025-01-03T00:00:00"/>
    <x v="4"/>
    <s v="EMP005"/>
    <s v="CUST5188"/>
    <x v="3"/>
    <s v="Furniture"/>
    <n v="6"/>
    <n v="7000"/>
    <n v="42000"/>
    <s v="Medium Value"/>
    <x v="1"/>
    <s v="Completed"/>
    <x v="3"/>
    <s v="Q1"/>
    <n v="2025"/>
  </r>
  <r>
    <n v="309"/>
    <d v="2025-12-15T00:00:00"/>
    <x v="2"/>
    <s v="EMP004"/>
    <s v="CUST5131"/>
    <x v="3"/>
    <s v="Furniture"/>
    <n v="9"/>
    <n v="7000"/>
    <n v="63000"/>
    <s v="Medium Value"/>
    <x v="0"/>
    <s v="Completed"/>
    <x v="10"/>
    <s v="Q4"/>
    <n v="2025"/>
  </r>
  <r>
    <n v="310"/>
    <d v="2025-09-13T00:00:00"/>
    <x v="2"/>
    <s v="EMP007"/>
    <s v="CUST6554"/>
    <x v="4"/>
    <s v="Electronics"/>
    <n v="8"/>
    <n v="500"/>
    <n v="4000"/>
    <s v="Low Value"/>
    <x v="2"/>
    <s v="Pending"/>
    <x v="1"/>
    <s v="Q3"/>
    <n v="2025"/>
  </r>
  <r>
    <n v="311"/>
    <d v="2025-02-21T00:00:00"/>
    <x v="4"/>
    <s v="EMP009"/>
    <s v="CUST8578"/>
    <x v="2"/>
    <s v="Furniture"/>
    <n v="9"/>
    <n v="3500"/>
    <n v="31500"/>
    <s v="Medium Value"/>
    <x v="3"/>
    <s v="Completed"/>
    <x v="8"/>
    <s v="Q1"/>
    <n v="2025"/>
  </r>
  <r>
    <n v="312"/>
    <d v="2025-04-05T00:00:00"/>
    <x v="4"/>
    <s v="EMP014"/>
    <s v="CUST3560"/>
    <x v="2"/>
    <s v="Furniture"/>
    <n v="7"/>
    <n v="3500"/>
    <n v="24500"/>
    <s v="Low Value"/>
    <x v="1"/>
    <s v="Completed"/>
    <x v="0"/>
    <s v="Q2"/>
    <n v="2025"/>
  </r>
  <r>
    <n v="313"/>
    <d v="2025-11-08T00:00:00"/>
    <x v="1"/>
    <s v="EMP020"/>
    <s v="CUST3240"/>
    <x v="3"/>
    <s v="Furniture"/>
    <n v="10"/>
    <n v="7000"/>
    <n v="70000"/>
    <s v="Medium Value"/>
    <x v="1"/>
    <s v="Completed"/>
    <x v="7"/>
    <s v="Q4"/>
    <n v="2025"/>
  </r>
  <r>
    <n v="314"/>
    <d v="2025-12-13T00:00:00"/>
    <x v="3"/>
    <s v="EMP004"/>
    <s v="CUST6498"/>
    <x v="1"/>
    <s v="Electronics"/>
    <n v="8"/>
    <n v="1200"/>
    <n v="9600"/>
    <s v="Low Value"/>
    <x v="3"/>
    <s v="Pending"/>
    <x v="10"/>
    <s v="Q4"/>
    <n v="2025"/>
  </r>
  <r>
    <n v="315"/>
    <d v="2025-01-31T00:00:00"/>
    <x v="1"/>
    <s v="EMP012"/>
    <s v="CUST9462"/>
    <x v="0"/>
    <s v="Electronics"/>
    <n v="5"/>
    <n v="55000"/>
    <n v="275000"/>
    <s v="High Value"/>
    <x v="0"/>
    <s v="Completed"/>
    <x v="3"/>
    <s v="Q1"/>
    <n v="2025"/>
  </r>
  <r>
    <n v="316"/>
    <d v="2025-04-25T00:00:00"/>
    <x v="3"/>
    <s v="EMP009"/>
    <s v="CUST5155"/>
    <x v="2"/>
    <s v="Furniture"/>
    <n v="10"/>
    <n v="3500"/>
    <n v="35000"/>
    <s v="Medium Value"/>
    <x v="3"/>
    <s v="Completed"/>
    <x v="0"/>
    <s v="Q2"/>
    <n v="2025"/>
  </r>
  <r>
    <n v="317"/>
    <d v="2025-11-19T00:00:00"/>
    <x v="0"/>
    <s v="EMP005"/>
    <s v="CUST7374"/>
    <x v="1"/>
    <s v="Electronics"/>
    <n v="6"/>
    <n v="1200"/>
    <n v="7200"/>
    <s v="Low Value"/>
    <x v="3"/>
    <s v="Completed"/>
    <x v="7"/>
    <s v="Q4"/>
    <n v="2025"/>
  </r>
  <r>
    <n v="318"/>
    <d v="2025-08-07T00:00:00"/>
    <x v="0"/>
    <s v="EMP009"/>
    <s v="CUST7391"/>
    <x v="1"/>
    <s v="Electronics"/>
    <n v="6"/>
    <n v="1200"/>
    <n v="7200"/>
    <s v="Low Value"/>
    <x v="0"/>
    <s v="Completed"/>
    <x v="11"/>
    <s v="Q3"/>
    <n v="2025"/>
  </r>
  <r>
    <n v="319"/>
    <d v="2025-12-26T00:00:00"/>
    <x v="4"/>
    <s v="EMP001"/>
    <s v="CUST5230"/>
    <x v="0"/>
    <s v="Electronics"/>
    <n v="8"/>
    <n v="55000"/>
    <n v="440000"/>
    <s v="High Value"/>
    <x v="1"/>
    <s v="Completed"/>
    <x v="10"/>
    <s v="Q4"/>
    <n v="2025"/>
  </r>
  <r>
    <n v="320"/>
    <d v="2025-12-11T00:00:00"/>
    <x v="2"/>
    <s v="EMP016"/>
    <s v="CUST6628"/>
    <x v="1"/>
    <s v="Electronics"/>
    <n v="8"/>
    <n v="1200"/>
    <n v="9600"/>
    <s v="Low Value"/>
    <x v="0"/>
    <s v="Pending"/>
    <x v="10"/>
    <s v="Q4"/>
    <n v="2025"/>
  </r>
  <r>
    <n v="321"/>
    <d v="2025-02-19T00:00:00"/>
    <x v="0"/>
    <s v="EMP009"/>
    <s v="CUST8280"/>
    <x v="2"/>
    <s v="Furniture"/>
    <n v="6"/>
    <n v="3500"/>
    <n v="21000"/>
    <s v="Low Value"/>
    <x v="0"/>
    <s v="Pending"/>
    <x v="8"/>
    <s v="Q1"/>
    <n v="2025"/>
  </r>
  <r>
    <n v="322"/>
    <d v="2025-05-08T00:00:00"/>
    <x v="2"/>
    <s v="EMP012"/>
    <s v="CUST9111"/>
    <x v="3"/>
    <s v="Furniture"/>
    <n v="9"/>
    <n v="7000"/>
    <n v="63000"/>
    <s v="Medium Value"/>
    <x v="3"/>
    <s v="Completed"/>
    <x v="9"/>
    <s v="Q2"/>
    <n v="2025"/>
  </r>
  <r>
    <n v="323"/>
    <d v="2025-09-26T00:00:00"/>
    <x v="2"/>
    <s v="EMP014"/>
    <s v="CUST7166"/>
    <x v="3"/>
    <s v="Furniture"/>
    <n v="1"/>
    <n v="7000"/>
    <n v="7000"/>
    <s v="Low Value"/>
    <x v="2"/>
    <s v="Completed"/>
    <x v="1"/>
    <s v="Q3"/>
    <n v="2025"/>
  </r>
  <r>
    <n v="324"/>
    <d v="2025-11-08T00:00:00"/>
    <x v="2"/>
    <s v="EMP013"/>
    <s v="CUST3057"/>
    <x v="3"/>
    <s v="Furniture"/>
    <n v="4"/>
    <n v="7000"/>
    <n v="28000"/>
    <s v="Low Value"/>
    <x v="0"/>
    <s v="Completed"/>
    <x v="7"/>
    <s v="Q4"/>
    <n v="2025"/>
  </r>
  <r>
    <n v="325"/>
    <d v="2025-10-07T00:00:00"/>
    <x v="2"/>
    <s v="EMP007"/>
    <s v="CUST5205"/>
    <x v="1"/>
    <s v="Electronics"/>
    <n v="6"/>
    <n v="1200"/>
    <n v="7200"/>
    <s v="Low Value"/>
    <x v="2"/>
    <s v="Completed"/>
    <x v="4"/>
    <s v="Q4"/>
    <n v="2025"/>
  </r>
  <r>
    <n v="326"/>
    <d v="2025-01-16T00:00:00"/>
    <x v="2"/>
    <s v="EMP012"/>
    <s v="CUST4618"/>
    <x v="0"/>
    <s v="Electronics"/>
    <n v="2"/>
    <n v="55000"/>
    <n v="110000"/>
    <s v="High Value"/>
    <x v="0"/>
    <s v="Pending"/>
    <x v="3"/>
    <s v="Q1"/>
    <n v="2025"/>
  </r>
  <r>
    <n v="327"/>
    <d v="2025-05-25T00:00:00"/>
    <x v="4"/>
    <s v="EMP016"/>
    <s v="CUST2269"/>
    <x v="0"/>
    <s v="Electronics"/>
    <n v="7"/>
    <n v="55000"/>
    <n v="385000"/>
    <s v="High Value"/>
    <x v="2"/>
    <s v="Completed"/>
    <x v="9"/>
    <s v="Q2"/>
    <n v="2025"/>
  </r>
  <r>
    <n v="328"/>
    <d v="2025-04-24T00:00:00"/>
    <x v="3"/>
    <s v="EMP018"/>
    <s v="CUST2062"/>
    <x v="1"/>
    <s v="Electronics"/>
    <n v="8"/>
    <n v="1200"/>
    <n v="9600"/>
    <s v="Low Value"/>
    <x v="1"/>
    <s v="Completed"/>
    <x v="0"/>
    <s v="Q2"/>
    <n v="2025"/>
  </r>
  <r>
    <n v="329"/>
    <d v="2025-03-02T00:00:00"/>
    <x v="4"/>
    <s v="EMP007"/>
    <s v="CUST7232"/>
    <x v="1"/>
    <s v="Electronics"/>
    <n v="5"/>
    <n v="1200"/>
    <n v="6000"/>
    <s v="Low Value"/>
    <x v="2"/>
    <s v="Completed"/>
    <x v="2"/>
    <s v="Q1"/>
    <n v="2025"/>
  </r>
  <r>
    <n v="330"/>
    <d v="2025-09-06T00:00:00"/>
    <x v="2"/>
    <s v="EMP005"/>
    <s v="CUST3557"/>
    <x v="4"/>
    <s v="Electronics"/>
    <n v="8"/>
    <n v="500"/>
    <n v="4000"/>
    <s v="Low Value"/>
    <x v="0"/>
    <s v="Completed"/>
    <x v="1"/>
    <s v="Q3"/>
    <n v="2025"/>
  </r>
  <r>
    <n v="331"/>
    <d v="2025-02-07T00:00:00"/>
    <x v="0"/>
    <s v="EMP004"/>
    <s v="CUST3408"/>
    <x v="5"/>
    <s v="Electronics"/>
    <n v="8"/>
    <n v="9000"/>
    <n v="72000"/>
    <s v="Medium Value"/>
    <x v="0"/>
    <s v="Completed"/>
    <x v="8"/>
    <s v="Q1"/>
    <n v="2025"/>
  </r>
  <r>
    <n v="332"/>
    <d v="2025-04-30T00:00:00"/>
    <x v="4"/>
    <s v="EMP020"/>
    <s v="CUST4831"/>
    <x v="1"/>
    <s v="Electronics"/>
    <n v="4"/>
    <n v="1200"/>
    <n v="4800"/>
    <s v="Low Value"/>
    <x v="0"/>
    <s v="Completed"/>
    <x v="0"/>
    <s v="Q2"/>
    <n v="2025"/>
  </r>
  <r>
    <n v="333"/>
    <d v="2025-08-06T00:00:00"/>
    <x v="0"/>
    <s v="EMP011"/>
    <s v="CUST2582"/>
    <x v="0"/>
    <s v="Electronics"/>
    <n v="3"/>
    <n v="55000"/>
    <n v="165000"/>
    <s v="High Value"/>
    <x v="0"/>
    <s v="Completed"/>
    <x v="11"/>
    <s v="Q3"/>
    <n v="2025"/>
  </r>
  <r>
    <n v="334"/>
    <d v="2025-05-21T00:00:00"/>
    <x v="0"/>
    <s v="EMP008"/>
    <s v="CUST2472"/>
    <x v="3"/>
    <s v="Furniture"/>
    <n v="9"/>
    <n v="7000"/>
    <n v="63000"/>
    <s v="Medium Value"/>
    <x v="0"/>
    <s v="Completed"/>
    <x v="9"/>
    <s v="Q2"/>
    <n v="2025"/>
  </r>
  <r>
    <n v="335"/>
    <d v="2025-04-02T00:00:00"/>
    <x v="2"/>
    <s v="EMP006"/>
    <s v="CUST9944"/>
    <x v="3"/>
    <s v="Furniture"/>
    <n v="8"/>
    <n v="7000"/>
    <n v="56000"/>
    <s v="Medium Value"/>
    <x v="3"/>
    <s v="Completed"/>
    <x v="0"/>
    <s v="Q2"/>
    <n v="2025"/>
  </r>
  <r>
    <n v="336"/>
    <d v="2025-08-04T00:00:00"/>
    <x v="2"/>
    <s v="EMP014"/>
    <s v="CUST4790"/>
    <x v="3"/>
    <s v="Furniture"/>
    <n v="10"/>
    <n v="7000"/>
    <n v="70000"/>
    <s v="Medium Value"/>
    <x v="2"/>
    <s v="Completed"/>
    <x v="11"/>
    <s v="Q3"/>
    <n v="2025"/>
  </r>
  <r>
    <n v="337"/>
    <d v="2025-03-18T00:00:00"/>
    <x v="4"/>
    <s v="EMP015"/>
    <s v="CUST8616"/>
    <x v="3"/>
    <s v="Furniture"/>
    <n v="2"/>
    <n v="7000"/>
    <n v="14000"/>
    <s v="Low Value"/>
    <x v="2"/>
    <s v="Completed"/>
    <x v="2"/>
    <s v="Q1"/>
    <n v="2025"/>
  </r>
  <r>
    <n v="338"/>
    <d v="2025-12-21T00:00:00"/>
    <x v="4"/>
    <s v="EMP017"/>
    <s v="CUST8752"/>
    <x v="5"/>
    <s v="Electronics"/>
    <n v="10"/>
    <n v="9000"/>
    <n v="90000"/>
    <s v="Medium Value"/>
    <x v="2"/>
    <s v="Cancelled"/>
    <x v="10"/>
    <s v="Q4"/>
    <n v="2025"/>
  </r>
  <r>
    <n v="339"/>
    <d v="2025-11-09T00:00:00"/>
    <x v="0"/>
    <s v="EMP018"/>
    <s v="CUST1897"/>
    <x v="0"/>
    <s v="Electronics"/>
    <n v="6"/>
    <n v="55000"/>
    <n v="330000"/>
    <s v="High Value"/>
    <x v="2"/>
    <s v="Completed"/>
    <x v="7"/>
    <s v="Q4"/>
    <n v="2025"/>
  </r>
  <r>
    <n v="340"/>
    <d v="2025-06-17T00:00:00"/>
    <x v="0"/>
    <s v="EMP014"/>
    <s v="CUST4335"/>
    <x v="4"/>
    <s v="Electronics"/>
    <n v="1"/>
    <n v="500"/>
    <n v="500"/>
    <s v="Low Value"/>
    <x v="2"/>
    <s v="Completed"/>
    <x v="6"/>
    <s v="Q2"/>
    <n v="2025"/>
  </r>
  <r>
    <n v="341"/>
    <d v="2025-05-07T00:00:00"/>
    <x v="2"/>
    <s v="EMP015"/>
    <s v="CUST4640"/>
    <x v="3"/>
    <s v="Furniture"/>
    <n v="5"/>
    <n v="7000"/>
    <n v="35000"/>
    <s v="Medium Value"/>
    <x v="3"/>
    <s v="Pending"/>
    <x v="9"/>
    <s v="Q2"/>
    <n v="2025"/>
  </r>
  <r>
    <n v="342"/>
    <d v="2025-11-22T00:00:00"/>
    <x v="2"/>
    <s v="EMP011"/>
    <s v="CUST9597"/>
    <x v="1"/>
    <s v="Electronics"/>
    <n v="7"/>
    <n v="1200"/>
    <n v="8400"/>
    <s v="Low Value"/>
    <x v="3"/>
    <s v="Pending"/>
    <x v="7"/>
    <s v="Q4"/>
    <n v="2025"/>
  </r>
  <r>
    <n v="343"/>
    <d v="2025-05-15T00:00:00"/>
    <x v="0"/>
    <s v="EMP007"/>
    <s v="CUST7673"/>
    <x v="5"/>
    <s v="Electronics"/>
    <n v="9"/>
    <n v="9000"/>
    <n v="81000"/>
    <s v="Medium Value"/>
    <x v="0"/>
    <s v="Pending"/>
    <x v="9"/>
    <s v="Q2"/>
    <n v="2025"/>
  </r>
  <r>
    <n v="344"/>
    <d v="2025-01-03T00:00:00"/>
    <x v="1"/>
    <s v="EMP016"/>
    <s v="CUST5494"/>
    <x v="4"/>
    <s v="Electronics"/>
    <n v="7"/>
    <n v="500"/>
    <n v="3500"/>
    <s v="Low Value"/>
    <x v="2"/>
    <s v="Pending"/>
    <x v="3"/>
    <s v="Q1"/>
    <n v="2025"/>
  </r>
  <r>
    <n v="345"/>
    <d v="2025-05-23T00:00:00"/>
    <x v="4"/>
    <s v="EMP017"/>
    <s v="CUST5680"/>
    <x v="2"/>
    <s v="Furniture"/>
    <n v="8"/>
    <n v="3500"/>
    <n v="28000"/>
    <s v="Low Value"/>
    <x v="3"/>
    <s v="Completed"/>
    <x v="9"/>
    <s v="Q2"/>
    <n v="2025"/>
  </r>
  <r>
    <n v="346"/>
    <d v="2025-11-09T00:00:00"/>
    <x v="3"/>
    <s v="EMP008"/>
    <s v="CUST5077"/>
    <x v="5"/>
    <s v="Electronics"/>
    <n v="8"/>
    <n v="9000"/>
    <n v="72000"/>
    <s v="Medium Value"/>
    <x v="3"/>
    <s v="Completed"/>
    <x v="7"/>
    <s v="Q4"/>
    <n v="2025"/>
  </r>
  <r>
    <n v="347"/>
    <d v="2025-07-10T00:00:00"/>
    <x v="2"/>
    <s v="EMP010"/>
    <s v="CUST7838"/>
    <x v="2"/>
    <s v="Furniture"/>
    <n v="9"/>
    <n v="3500"/>
    <n v="31500"/>
    <s v="Medium Value"/>
    <x v="1"/>
    <s v="Completed"/>
    <x v="5"/>
    <s v="Q3"/>
    <n v="2025"/>
  </r>
  <r>
    <n v="348"/>
    <d v="2025-12-26T00:00:00"/>
    <x v="2"/>
    <s v="EMP003"/>
    <s v="CUST4637"/>
    <x v="1"/>
    <s v="Electronics"/>
    <n v="3"/>
    <n v="1200"/>
    <n v="3600"/>
    <s v="Low Value"/>
    <x v="2"/>
    <s v="Pending"/>
    <x v="10"/>
    <s v="Q4"/>
    <n v="2025"/>
  </r>
  <r>
    <n v="349"/>
    <d v="2025-12-31T00:00:00"/>
    <x v="4"/>
    <s v="EMP009"/>
    <s v="CUST1158"/>
    <x v="5"/>
    <s v="Electronics"/>
    <n v="10"/>
    <n v="9000"/>
    <n v="90000"/>
    <s v="Medium Value"/>
    <x v="3"/>
    <s v="Completed"/>
    <x v="10"/>
    <s v="Q4"/>
    <n v="2025"/>
  </r>
  <r>
    <n v="350"/>
    <d v="2025-09-02T00:00:00"/>
    <x v="0"/>
    <s v="EMP020"/>
    <s v="CUST2852"/>
    <x v="3"/>
    <s v="Furniture"/>
    <n v="10"/>
    <n v="7000"/>
    <n v="70000"/>
    <s v="Medium Value"/>
    <x v="3"/>
    <s v="Pending"/>
    <x v="1"/>
    <s v="Q3"/>
    <n v="2025"/>
  </r>
  <r>
    <n v="351"/>
    <d v="2025-10-22T00:00:00"/>
    <x v="1"/>
    <s v="EMP019"/>
    <s v="CUST1290"/>
    <x v="2"/>
    <s v="Furniture"/>
    <n v="2"/>
    <n v="3500"/>
    <n v="7000"/>
    <s v="Low Value"/>
    <x v="0"/>
    <s v="Completed"/>
    <x v="4"/>
    <s v="Q4"/>
    <n v="2025"/>
  </r>
  <r>
    <n v="352"/>
    <d v="2025-10-25T00:00:00"/>
    <x v="2"/>
    <s v="EMP013"/>
    <s v="CUST1694"/>
    <x v="4"/>
    <s v="Electronics"/>
    <n v="3"/>
    <n v="500"/>
    <n v="1500"/>
    <s v="Low Value"/>
    <x v="2"/>
    <s v="Completed"/>
    <x v="4"/>
    <s v="Q4"/>
    <n v="2025"/>
  </r>
  <r>
    <n v="353"/>
    <d v="2025-12-26T00:00:00"/>
    <x v="4"/>
    <s v="EMP007"/>
    <s v="CUST3158"/>
    <x v="5"/>
    <s v="Electronics"/>
    <n v="2"/>
    <n v="9000"/>
    <n v="18000"/>
    <s v="Low Value"/>
    <x v="0"/>
    <s v="Pending"/>
    <x v="10"/>
    <s v="Q4"/>
    <n v="2025"/>
  </r>
  <r>
    <n v="354"/>
    <d v="2025-06-15T00:00:00"/>
    <x v="3"/>
    <s v="EMP018"/>
    <s v="CUST3263"/>
    <x v="4"/>
    <s v="Electronics"/>
    <n v="1"/>
    <n v="500"/>
    <n v="500"/>
    <s v="Low Value"/>
    <x v="0"/>
    <s v="Completed"/>
    <x v="6"/>
    <s v="Q2"/>
    <n v="2025"/>
  </r>
  <r>
    <n v="355"/>
    <d v="2025-08-20T00:00:00"/>
    <x v="1"/>
    <s v="EMP009"/>
    <s v="CUST6219"/>
    <x v="1"/>
    <s v="Electronics"/>
    <n v="10"/>
    <n v="1200"/>
    <n v="12000"/>
    <s v="Low Value"/>
    <x v="0"/>
    <s v="Completed"/>
    <x v="11"/>
    <s v="Q3"/>
    <n v="2025"/>
  </r>
  <r>
    <n v="356"/>
    <d v="2025-08-28T00:00:00"/>
    <x v="4"/>
    <s v="EMP017"/>
    <s v="CUST6606"/>
    <x v="4"/>
    <s v="Electronics"/>
    <n v="8"/>
    <n v="500"/>
    <n v="4000"/>
    <s v="Low Value"/>
    <x v="2"/>
    <s v="Completed"/>
    <x v="11"/>
    <s v="Q3"/>
    <n v="2025"/>
  </r>
  <r>
    <n v="357"/>
    <d v="2025-11-05T00:00:00"/>
    <x v="2"/>
    <s v="EMP017"/>
    <s v="CUST6066"/>
    <x v="0"/>
    <s v="Electronics"/>
    <n v="10"/>
    <n v="55000"/>
    <n v="550000"/>
    <s v="High Value"/>
    <x v="0"/>
    <s v="Completed"/>
    <x v="7"/>
    <s v="Q4"/>
    <n v="2025"/>
  </r>
  <r>
    <n v="358"/>
    <d v="2025-09-23T00:00:00"/>
    <x v="2"/>
    <s v="EMP013"/>
    <s v="CUST3938"/>
    <x v="2"/>
    <s v="Furniture"/>
    <n v="4"/>
    <n v="3500"/>
    <n v="14000"/>
    <s v="Low Value"/>
    <x v="2"/>
    <s v="Pending"/>
    <x v="1"/>
    <s v="Q3"/>
    <n v="2025"/>
  </r>
  <r>
    <n v="359"/>
    <d v="2025-01-26T00:00:00"/>
    <x v="4"/>
    <s v="EMP013"/>
    <s v="CUST4144"/>
    <x v="0"/>
    <s v="Electronics"/>
    <n v="7"/>
    <n v="55000"/>
    <n v="385000"/>
    <s v="High Value"/>
    <x v="1"/>
    <s v="Completed"/>
    <x v="3"/>
    <s v="Q1"/>
    <n v="2025"/>
  </r>
  <r>
    <n v="360"/>
    <d v="2025-05-14T00:00:00"/>
    <x v="4"/>
    <s v="EMP010"/>
    <s v="CUST6467"/>
    <x v="2"/>
    <s v="Furniture"/>
    <n v="6"/>
    <n v="3500"/>
    <n v="21000"/>
    <s v="Low Value"/>
    <x v="1"/>
    <s v="Completed"/>
    <x v="9"/>
    <s v="Q2"/>
    <n v="2025"/>
  </r>
  <r>
    <n v="361"/>
    <d v="2025-02-15T00:00:00"/>
    <x v="3"/>
    <s v="EMP006"/>
    <s v="CUST2549"/>
    <x v="2"/>
    <s v="Furniture"/>
    <n v="2"/>
    <n v="3500"/>
    <n v="7000"/>
    <s v="Low Value"/>
    <x v="0"/>
    <s v="Pending"/>
    <x v="8"/>
    <s v="Q1"/>
    <n v="2025"/>
  </r>
  <r>
    <n v="362"/>
    <d v="2025-03-02T00:00:00"/>
    <x v="0"/>
    <s v="EMP005"/>
    <s v="CUST3399"/>
    <x v="1"/>
    <s v="Electronics"/>
    <n v="6"/>
    <n v="1200"/>
    <n v="7200"/>
    <s v="Low Value"/>
    <x v="3"/>
    <s v="Completed"/>
    <x v="2"/>
    <s v="Q1"/>
    <n v="2025"/>
  </r>
  <r>
    <n v="363"/>
    <d v="2025-03-21T00:00:00"/>
    <x v="0"/>
    <s v="EMP015"/>
    <s v="CUST8685"/>
    <x v="5"/>
    <s v="Electronics"/>
    <n v="2"/>
    <n v="9000"/>
    <n v="18000"/>
    <s v="Low Value"/>
    <x v="3"/>
    <s v="Pending"/>
    <x v="2"/>
    <s v="Q1"/>
    <n v="2025"/>
  </r>
  <r>
    <n v="364"/>
    <d v="2025-08-15T00:00:00"/>
    <x v="0"/>
    <s v="EMP005"/>
    <s v="CUST9508"/>
    <x v="2"/>
    <s v="Furniture"/>
    <n v="7"/>
    <n v="3500"/>
    <n v="24500"/>
    <s v="Low Value"/>
    <x v="1"/>
    <s v="Completed"/>
    <x v="11"/>
    <s v="Q3"/>
    <n v="2025"/>
  </r>
  <r>
    <n v="365"/>
    <d v="2025-03-05T00:00:00"/>
    <x v="2"/>
    <s v="EMP005"/>
    <s v="CUST9114"/>
    <x v="3"/>
    <s v="Furniture"/>
    <n v="10"/>
    <n v="7000"/>
    <n v="70000"/>
    <s v="Medium Value"/>
    <x v="0"/>
    <s v="Pending"/>
    <x v="2"/>
    <s v="Q1"/>
    <n v="2025"/>
  </r>
  <r>
    <n v="366"/>
    <d v="2025-09-21T00:00:00"/>
    <x v="4"/>
    <s v="EMP018"/>
    <s v="CUST1854"/>
    <x v="1"/>
    <s v="Electronics"/>
    <n v="3"/>
    <n v="1200"/>
    <n v="3600"/>
    <s v="Low Value"/>
    <x v="2"/>
    <s v="Pending"/>
    <x v="1"/>
    <s v="Q3"/>
    <n v="2025"/>
  </r>
  <r>
    <n v="367"/>
    <d v="2025-07-22T00:00:00"/>
    <x v="4"/>
    <s v="EMP019"/>
    <s v="CUST1098"/>
    <x v="2"/>
    <s v="Furniture"/>
    <n v="8"/>
    <n v="3500"/>
    <n v="28000"/>
    <s v="Low Value"/>
    <x v="2"/>
    <s v="Pending"/>
    <x v="5"/>
    <s v="Q3"/>
    <n v="2025"/>
  </r>
  <r>
    <n v="368"/>
    <d v="2025-01-09T00:00:00"/>
    <x v="0"/>
    <s v="EMP006"/>
    <s v="CUST7678"/>
    <x v="0"/>
    <s v="Electronics"/>
    <n v="2"/>
    <n v="55000"/>
    <n v="110000"/>
    <s v="High Value"/>
    <x v="1"/>
    <s v="Completed"/>
    <x v="3"/>
    <s v="Q1"/>
    <n v="2025"/>
  </r>
  <r>
    <n v="369"/>
    <d v="2025-08-03T00:00:00"/>
    <x v="3"/>
    <s v="EMP001"/>
    <s v="CUST9227"/>
    <x v="1"/>
    <s v="Electronics"/>
    <n v="8"/>
    <n v="1200"/>
    <n v="9600"/>
    <s v="Low Value"/>
    <x v="3"/>
    <s v="Completed"/>
    <x v="11"/>
    <s v="Q3"/>
    <n v="2025"/>
  </r>
  <r>
    <n v="370"/>
    <d v="2025-11-15T00:00:00"/>
    <x v="2"/>
    <s v="EMP018"/>
    <s v="CUST7062"/>
    <x v="2"/>
    <s v="Furniture"/>
    <n v="8"/>
    <n v="3500"/>
    <n v="28000"/>
    <s v="Low Value"/>
    <x v="2"/>
    <s v="Completed"/>
    <x v="7"/>
    <s v="Q4"/>
    <n v="2025"/>
  </r>
  <r>
    <n v="371"/>
    <d v="2025-04-22T00:00:00"/>
    <x v="1"/>
    <s v="EMP011"/>
    <s v="CUST5367"/>
    <x v="5"/>
    <s v="Electronics"/>
    <n v="10"/>
    <n v="9000"/>
    <n v="90000"/>
    <s v="Medium Value"/>
    <x v="1"/>
    <s v="Completed"/>
    <x v="0"/>
    <s v="Q2"/>
    <n v="2025"/>
  </r>
  <r>
    <n v="372"/>
    <d v="2025-12-13T00:00:00"/>
    <x v="3"/>
    <s v="EMP016"/>
    <s v="CUST6487"/>
    <x v="4"/>
    <s v="Electronics"/>
    <n v="1"/>
    <n v="500"/>
    <n v="500"/>
    <s v="Low Value"/>
    <x v="1"/>
    <s v="Completed"/>
    <x v="10"/>
    <s v="Q4"/>
    <n v="2025"/>
  </r>
  <r>
    <n v="373"/>
    <d v="2025-03-24T00:00:00"/>
    <x v="1"/>
    <s v="EMP014"/>
    <s v="CUST3480"/>
    <x v="0"/>
    <s v="Electronics"/>
    <n v="5"/>
    <n v="55000"/>
    <n v="275000"/>
    <s v="High Value"/>
    <x v="0"/>
    <s v="Completed"/>
    <x v="2"/>
    <s v="Q1"/>
    <n v="2025"/>
  </r>
  <r>
    <n v="374"/>
    <d v="2025-01-26T00:00:00"/>
    <x v="3"/>
    <s v="EMP017"/>
    <s v="CUST3594"/>
    <x v="5"/>
    <s v="Electronics"/>
    <n v="10"/>
    <n v="9000"/>
    <n v="90000"/>
    <s v="Medium Value"/>
    <x v="0"/>
    <s v="Completed"/>
    <x v="3"/>
    <s v="Q1"/>
    <n v="2025"/>
  </r>
  <r>
    <n v="375"/>
    <d v="2025-04-19T00:00:00"/>
    <x v="2"/>
    <s v="EMP019"/>
    <s v="CUST1856"/>
    <x v="2"/>
    <s v="Furniture"/>
    <n v="3"/>
    <n v="3500"/>
    <n v="10500"/>
    <s v="Low Value"/>
    <x v="3"/>
    <s v="Completed"/>
    <x v="0"/>
    <s v="Q2"/>
    <n v="2025"/>
  </r>
  <r>
    <n v="376"/>
    <d v="2025-04-26T00:00:00"/>
    <x v="1"/>
    <s v="EMP011"/>
    <s v="CUST4294"/>
    <x v="1"/>
    <s v="Electronics"/>
    <n v="4"/>
    <n v="1200"/>
    <n v="4800"/>
    <s v="Low Value"/>
    <x v="1"/>
    <s v="Cancelled"/>
    <x v="0"/>
    <s v="Q2"/>
    <n v="2025"/>
  </r>
  <r>
    <n v="377"/>
    <d v="2025-07-29T00:00:00"/>
    <x v="4"/>
    <s v="EMP007"/>
    <s v="CUST7381"/>
    <x v="1"/>
    <s v="Electronics"/>
    <n v="4"/>
    <n v="1200"/>
    <n v="4800"/>
    <s v="Low Value"/>
    <x v="3"/>
    <s v="Completed"/>
    <x v="5"/>
    <s v="Q3"/>
    <n v="2025"/>
  </r>
  <r>
    <n v="378"/>
    <d v="2025-04-24T00:00:00"/>
    <x v="3"/>
    <s v="EMP006"/>
    <s v="CUST8081"/>
    <x v="3"/>
    <s v="Furniture"/>
    <n v="6"/>
    <n v="7000"/>
    <n v="42000"/>
    <s v="Medium Value"/>
    <x v="2"/>
    <s v="Completed"/>
    <x v="0"/>
    <s v="Q2"/>
    <n v="2025"/>
  </r>
  <r>
    <n v="379"/>
    <d v="2025-11-29T00:00:00"/>
    <x v="0"/>
    <s v="EMP007"/>
    <s v="CUST9004"/>
    <x v="1"/>
    <s v="Electronics"/>
    <n v="8"/>
    <n v="1200"/>
    <n v="9600"/>
    <s v="Low Value"/>
    <x v="2"/>
    <s v="Completed"/>
    <x v="7"/>
    <s v="Q4"/>
    <n v="2025"/>
  </r>
  <r>
    <n v="380"/>
    <d v="2025-06-16T00:00:00"/>
    <x v="4"/>
    <s v="EMP004"/>
    <s v="CUST4967"/>
    <x v="0"/>
    <s v="Electronics"/>
    <n v="9"/>
    <n v="55000"/>
    <n v="495000"/>
    <s v="High Value"/>
    <x v="1"/>
    <s v="Completed"/>
    <x v="6"/>
    <s v="Q2"/>
    <n v="2025"/>
  </r>
  <r>
    <n v="381"/>
    <d v="2025-09-01T00:00:00"/>
    <x v="4"/>
    <s v="EMP002"/>
    <s v="CUST1885"/>
    <x v="1"/>
    <s v="Electronics"/>
    <n v="4"/>
    <n v="1200"/>
    <n v="4800"/>
    <s v="Low Value"/>
    <x v="1"/>
    <s v="Completed"/>
    <x v="1"/>
    <s v="Q3"/>
    <n v="2025"/>
  </r>
  <r>
    <n v="382"/>
    <d v="2025-01-28T00:00:00"/>
    <x v="1"/>
    <s v="EMP011"/>
    <s v="CUST1352"/>
    <x v="0"/>
    <s v="Electronics"/>
    <n v="5"/>
    <n v="55000"/>
    <n v="275000"/>
    <s v="High Value"/>
    <x v="3"/>
    <s v="Completed"/>
    <x v="3"/>
    <s v="Q1"/>
    <n v="2025"/>
  </r>
  <r>
    <n v="383"/>
    <d v="2025-03-09T00:00:00"/>
    <x v="1"/>
    <s v="EMP004"/>
    <s v="CUST9693"/>
    <x v="4"/>
    <s v="Electronics"/>
    <n v="6"/>
    <n v="500"/>
    <n v="3000"/>
    <s v="Low Value"/>
    <x v="1"/>
    <s v="Completed"/>
    <x v="2"/>
    <s v="Q1"/>
    <n v="2025"/>
  </r>
  <r>
    <n v="384"/>
    <d v="2025-02-15T00:00:00"/>
    <x v="1"/>
    <s v="EMP007"/>
    <s v="CUST3502"/>
    <x v="0"/>
    <s v="Electronics"/>
    <n v="7"/>
    <n v="55000"/>
    <n v="385000"/>
    <s v="High Value"/>
    <x v="2"/>
    <s v="Completed"/>
    <x v="8"/>
    <s v="Q1"/>
    <n v="2025"/>
  </r>
  <r>
    <n v="385"/>
    <d v="2025-09-22T00:00:00"/>
    <x v="0"/>
    <s v="EMP020"/>
    <s v="CUST5519"/>
    <x v="0"/>
    <s v="Electronics"/>
    <n v="6"/>
    <n v="55000"/>
    <n v="330000"/>
    <s v="High Value"/>
    <x v="3"/>
    <s v="Pending"/>
    <x v="1"/>
    <s v="Q3"/>
    <n v="2025"/>
  </r>
  <r>
    <n v="386"/>
    <d v="2025-01-17T00:00:00"/>
    <x v="0"/>
    <s v="EMP020"/>
    <s v="CUST3993"/>
    <x v="4"/>
    <s v="Electronics"/>
    <n v="6"/>
    <n v="500"/>
    <n v="3000"/>
    <s v="Low Value"/>
    <x v="3"/>
    <s v="Pending"/>
    <x v="3"/>
    <s v="Q1"/>
    <n v="2025"/>
  </r>
  <r>
    <n v="387"/>
    <d v="2025-08-24T00:00:00"/>
    <x v="1"/>
    <s v="EMP002"/>
    <s v="CUST4058"/>
    <x v="0"/>
    <s v="Electronics"/>
    <n v="4"/>
    <n v="55000"/>
    <n v="220000"/>
    <s v="High Value"/>
    <x v="0"/>
    <s v="Completed"/>
    <x v="11"/>
    <s v="Q3"/>
    <n v="2025"/>
  </r>
  <r>
    <n v="388"/>
    <d v="2025-03-23T00:00:00"/>
    <x v="3"/>
    <s v="EMP003"/>
    <s v="CUST1300"/>
    <x v="4"/>
    <s v="Electronics"/>
    <n v="2"/>
    <n v="500"/>
    <n v="1000"/>
    <s v="Low Value"/>
    <x v="3"/>
    <s v="Completed"/>
    <x v="2"/>
    <s v="Q1"/>
    <n v="2025"/>
  </r>
  <r>
    <n v="389"/>
    <d v="2025-08-31T00:00:00"/>
    <x v="3"/>
    <s v="EMP008"/>
    <s v="CUST8312"/>
    <x v="1"/>
    <s v="Electronics"/>
    <n v="1"/>
    <n v="1200"/>
    <n v="1200"/>
    <s v="Low Value"/>
    <x v="2"/>
    <s v="Pending"/>
    <x v="11"/>
    <s v="Q3"/>
    <n v="2025"/>
  </r>
  <r>
    <n v="390"/>
    <d v="2025-06-07T00:00:00"/>
    <x v="3"/>
    <s v="EMP016"/>
    <s v="CUST6143"/>
    <x v="3"/>
    <s v="Furniture"/>
    <n v="8"/>
    <n v="7000"/>
    <n v="56000"/>
    <s v="Medium Value"/>
    <x v="2"/>
    <s v="Completed"/>
    <x v="6"/>
    <s v="Q2"/>
    <n v="2025"/>
  </r>
  <r>
    <n v="391"/>
    <d v="2025-08-14T00:00:00"/>
    <x v="0"/>
    <s v="EMP005"/>
    <s v="CUST9169"/>
    <x v="3"/>
    <s v="Furniture"/>
    <n v="5"/>
    <n v="7000"/>
    <n v="35000"/>
    <s v="Medium Value"/>
    <x v="1"/>
    <s v="Completed"/>
    <x v="11"/>
    <s v="Q3"/>
    <n v="2025"/>
  </r>
  <r>
    <n v="392"/>
    <d v="2025-05-08T00:00:00"/>
    <x v="4"/>
    <s v="EMP011"/>
    <s v="CUST5154"/>
    <x v="0"/>
    <s v="Electronics"/>
    <n v="8"/>
    <n v="55000"/>
    <n v="440000"/>
    <s v="High Value"/>
    <x v="0"/>
    <s v="Pending"/>
    <x v="9"/>
    <s v="Q2"/>
    <n v="2025"/>
  </r>
  <r>
    <n v="393"/>
    <d v="2025-10-04T00:00:00"/>
    <x v="4"/>
    <s v="EMP005"/>
    <s v="CUST3049"/>
    <x v="4"/>
    <s v="Electronics"/>
    <n v="3"/>
    <n v="500"/>
    <n v="1500"/>
    <s v="Low Value"/>
    <x v="3"/>
    <s v="Completed"/>
    <x v="4"/>
    <s v="Q4"/>
    <n v="2025"/>
  </r>
  <r>
    <n v="394"/>
    <d v="2025-01-09T00:00:00"/>
    <x v="3"/>
    <s v="EMP003"/>
    <s v="CUST4685"/>
    <x v="5"/>
    <s v="Electronics"/>
    <n v="10"/>
    <n v="9000"/>
    <n v="90000"/>
    <s v="Medium Value"/>
    <x v="1"/>
    <s v="Completed"/>
    <x v="3"/>
    <s v="Q1"/>
    <n v="2025"/>
  </r>
  <r>
    <n v="395"/>
    <d v="2025-06-01T00:00:00"/>
    <x v="2"/>
    <s v="EMP014"/>
    <s v="CUST6499"/>
    <x v="0"/>
    <s v="Electronics"/>
    <n v="8"/>
    <n v="55000"/>
    <n v="440000"/>
    <s v="High Value"/>
    <x v="1"/>
    <s v="Completed"/>
    <x v="6"/>
    <s v="Q2"/>
    <n v="2025"/>
  </r>
  <r>
    <n v="396"/>
    <d v="2025-06-04T00:00:00"/>
    <x v="1"/>
    <s v="EMP008"/>
    <s v="CUST5473"/>
    <x v="4"/>
    <s v="Electronics"/>
    <n v="4"/>
    <n v="500"/>
    <n v="2000"/>
    <s v="Low Value"/>
    <x v="1"/>
    <s v="Completed"/>
    <x v="6"/>
    <s v="Q2"/>
    <n v="2025"/>
  </r>
  <r>
    <n v="397"/>
    <d v="2025-07-05T00:00:00"/>
    <x v="3"/>
    <s v="EMP015"/>
    <s v="CUST7169"/>
    <x v="1"/>
    <s v="Electronics"/>
    <n v="8"/>
    <n v="1200"/>
    <n v="9600"/>
    <s v="Low Value"/>
    <x v="2"/>
    <s v="Pending"/>
    <x v="5"/>
    <s v="Q3"/>
    <n v="2025"/>
  </r>
  <r>
    <n v="398"/>
    <d v="2025-12-14T00:00:00"/>
    <x v="0"/>
    <s v="EMP015"/>
    <s v="CUST8541"/>
    <x v="5"/>
    <s v="Electronics"/>
    <n v="6"/>
    <n v="9000"/>
    <n v="54000"/>
    <s v="Medium Value"/>
    <x v="1"/>
    <s v="Completed"/>
    <x v="10"/>
    <s v="Q4"/>
    <n v="2025"/>
  </r>
  <r>
    <n v="399"/>
    <d v="2025-06-11T00:00:00"/>
    <x v="2"/>
    <s v="EMP014"/>
    <s v="CUST9814"/>
    <x v="3"/>
    <s v="Furniture"/>
    <n v="6"/>
    <n v="7000"/>
    <n v="42000"/>
    <s v="Medium Value"/>
    <x v="3"/>
    <s v="Completed"/>
    <x v="6"/>
    <s v="Q2"/>
    <n v="2025"/>
  </r>
  <r>
    <n v="400"/>
    <d v="2025-10-02T00:00:00"/>
    <x v="4"/>
    <s v="EMP016"/>
    <s v="CUST8311"/>
    <x v="4"/>
    <s v="Electronics"/>
    <n v="8"/>
    <n v="500"/>
    <n v="4000"/>
    <s v="Low Value"/>
    <x v="0"/>
    <s v="Completed"/>
    <x v="4"/>
    <s v="Q4"/>
    <n v="2025"/>
  </r>
  <r>
    <n v="401"/>
    <d v="2025-12-31T00:00:00"/>
    <x v="2"/>
    <s v="EMP008"/>
    <s v="CUST7794"/>
    <x v="0"/>
    <s v="Electronics"/>
    <n v="3"/>
    <n v="55000"/>
    <n v="165000"/>
    <s v="High Value"/>
    <x v="0"/>
    <s v="Completed"/>
    <x v="10"/>
    <s v="Q4"/>
    <n v="2025"/>
  </r>
  <r>
    <n v="402"/>
    <d v="2025-11-23T00:00:00"/>
    <x v="4"/>
    <s v="EMP009"/>
    <s v="CUST6997"/>
    <x v="0"/>
    <s v="Electronics"/>
    <n v="3"/>
    <n v="55000"/>
    <n v="165000"/>
    <s v="High Value"/>
    <x v="1"/>
    <s v="Completed"/>
    <x v="7"/>
    <s v="Q4"/>
    <n v="2025"/>
  </r>
  <r>
    <n v="403"/>
    <d v="2025-11-14T00:00:00"/>
    <x v="2"/>
    <s v="EMP008"/>
    <s v="CUST7675"/>
    <x v="3"/>
    <s v="Furniture"/>
    <n v="7"/>
    <n v="7000"/>
    <n v="49000"/>
    <s v="Medium Value"/>
    <x v="3"/>
    <s v="Pending"/>
    <x v="7"/>
    <s v="Q4"/>
    <n v="2025"/>
  </r>
  <r>
    <n v="404"/>
    <d v="2025-11-01T00:00:00"/>
    <x v="4"/>
    <s v="EMP013"/>
    <s v="CUST6457"/>
    <x v="3"/>
    <s v="Furniture"/>
    <n v="5"/>
    <n v="7000"/>
    <n v="35000"/>
    <s v="Medium Value"/>
    <x v="3"/>
    <s v="Completed"/>
    <x v="7"/>
    <s v="Q4"/>
    <n v="2025"/>
  </r>
  <r>
    <n v="405"/>
    <d v="2025-10-04T00:00:00"/>
    <x v="2"/>
    <s v="EMP014"/>
    <s v="CUST7477"/>
    <x v="0"/>
    <s v="Electronics"/>
    <n v="9"/>
    <n v="55000"/>
    <n v="495000"/>
    <s v="High Value"/>
    <x v="0"/>
    <s v="Completed"/>
    <x v="4"/>
    <s v="Q4"/>
    <n v="2025"/>
  </r>
  <r>
    <n v="406"/>
    <d v="2025-10-08T00:00:00"/>
    <x v="0"/>
    <s v="EMP017"/>
    <s v="CUST5273"/>
    <x v="1"/>
    <s v="Electronics"/>
    <n v="2"/>
    <n v="1200"/>
    <n v="2400"/>
    <s v="Low Value"/>
    <x v="1"/>
    <s v="Completed"/>
    <x v="4"/>
    <s v="Q4"/>
    <n v="2025"/>
  </r>
  <r>
    <n v="407"/>
    <d v="2025-04-09T00:00:00"/>
    <x v="1"/>
    <s v="EMP012"/>
    <s v="CUST2128"/>
    <x v="5"/>
    <s v="Electronics"/>
    <n v="1"/>
    <n v="9000"/>
    <n v="9000"/>
    <s v="Low Value"/>
    <x v="1"/>
    <s v="Completed"/>
    <x v="0"/>
    <s v="Q2"/>
    <n v="2025"/>
  </r>
  <r>
    <n v="408"/>
    <d v="2025-05-01T00:00:00"/>
    <x v="0"/>
    <s v="EMP020"/>
    <s v="CUST2462"/>
    <x v="1"/>
    <s v="Electronics"/>
    <n v="4"/>
    <n v="1200"/>
    <n v="4800"/>
    <s v="Low Value"/>
    <x v="3"/>
    <s v="Completed"/>
    <x v="9"/>
    <s v="Q2"/>
    <n v="2025"/>
  </r>
  <r>
    <n v="409"/>
    <d v="2025-05-30T00:00:00"/>
    <x v="2"/>
    <s v="EMP005"/>
    <s v="CUST7136"/>
    <x v="3"/>
    <s v="Furniture"/>
    <n v="7"/>
    <n v="7000"/>
    <n v="49000"/>
    <s v="Medium Value"/>
    <x v="1"/>
    <s v="Completed"/>
    <x v="9"/>
    <s v="Q2"/>
    <n v="2025"/>
  </r>
  <r>
    <n v="410"/>
    <d v="2025-10-11T00:00:00"/>
    <x v="4"/>
    <s v="EMP015"/>
    <s v="CUST9862"/>
    <x v="4"/>
    <s v="Electronics"/>
    <n v="9"/>
    <n v="500"/>
    <n v="4500"/>
    <s v="Low Value"/>
    <x v="2"/>
    <s v="Completed"/>
    <x v="4"/>
    <s v="Q4"/>
    <n v="2025"/>
  </r>
  <r>
    <n v="411"/>
    <d v="2025-01-11T00:00:00"/>
    <x v="4"/>
    <s v="EMP004"/>
    <s v="CUST9992"/>
    <x v="5"/>
    <s v="Electronics"/>
    <n v="10"/>
    <n v="9000"/>
    <n v="90000"/>
    <s v="Medium Value"/>
    <x v="2"/>
    <s v="Completed"/>
    <x v="3"/>
    <s v="Q1"/>
    <n v="2025"/>
  </r>
  <r>
    <n v="412"/>
    <d v="2025-10-12T00:00:00"/>
    <x v="3"/>
    <s v="EMP001"/>
    <s v="CUST1756"/>
    <x v="4"/>
    <s v="Electronics"/>
    <n v="1"/>
    <n v="500"/>
    <n v="500"/>
    <s v="Low Value"/>
    <x v="1"/>
    <s v="Cancelled"/>
    <x v="4"/>
    <s v="Q4"/>
    <n v="2025"/>
  </r>
  <r>
    <n v="413"/>
    <d v="2025-02-12T00:00:00"/>
    <x v="0"/>
    <s v="EMP016"/>
    <s v="CUST2716"/>
    <x v="2"/>
    <s v="Furniture"/>
    <n v="7"/>
    <n v="3500"/>
    <n v="24500"/>
    <s v="Low Value"/>
    <x v="0"/>
    <s v="Completed"/>
    <x v="8"/>
    <s v="Q1"/>
    <n v="2025"/>
  </r>
  <r>
    <n v="414"/>
    <d v="2025-01-02T00:00:00"/>
    <x v="4"/>
    <s v="EMP002"/>
    <s v="CUST7857"/>
    <x v="3"/>
    <s v="Furniture"/>
    <n v="3"/>
    <n v="7000"/>
    <n v="21000"/>
    <s v="Low Value"/>
    <x v="1"/>
    <s v="Completed"/>
    <x v="3"/>
    <s v="Q1"/>
    <n v="2025"/>
  </r>
  <r>
    <n v="415"/>
    <d v="2025-06-17T00:00:00"/>
    <x v="3"/>
    <s v="EMP002"/>
    <s v="CUST6318"/>
    <x v="3"/>
    <s v="Furniture"/>
    <n v="4"/>
    <n v="7000"/>
    <n v="28000"/>
    <s v="Low Value"/>
    <x v="0"/>
    <s v="Completed"/>
    <x v="6"/>
    <s v="Q2"/>
    <n v="2025"/>
  </r>
  <r>
    <n v="416"/>
    <d v="2025-03-31T00:00:00"/>
    <x v="2"/>
    <s v="EMP010"/>
    <s v="CUST3037"/>
    <x v="0"/>
    <s v="Electronics"/>
    <n v="5"/>
    <n v="55000"/>
    <n v="275000"/>
    <s v="High Value"/>
    <x v="1"/>
    <s v="Completed"/>
    <x v="2"/>
    <s v="Q1"/>
    <n v="2025"/>
  </r>
  <r>
    <n v="417"/>
    <d v="2025-12-12T00:00:00"/>
    <x v="3"/>
    <s v="EMP008"/>
    <s v="CUST8887"/>
    <x v="3"/>
    <s v="Furniture"/>
    <n v="5"/>
    <n v="7000"/>
    <n v="35000"/>
    <s v="Medium Value"/>
    <x v="0"/>
    <s v="Completed"/>
    <x v="10"/>
    <s v="Q4"/>
    <n v="2025"/>
  </r>
  <r>
    <n v="418"/>
    <d v="2025-12-01T00:00:00"/>
    <x v="1"/>
    <s v="EMP005"/>
    <s v="CUST2944"/>
    <x v="1"/>
    <s v="Electronics"/>
    <n v="8"/>
    <n v="1200"/>
    <n v="9600"/>
    <s v="Low Value"/>
    <x v="3"/>
    <s v="Completed"/>
    <x v="10"/>
    <s v="Q4"/>
    <n v="2025"/>
  </r>
  <r>
    <n v="419"/>
    <d v="2025-11-21T00:00:00"/>
    <x v="0"/>
    <s v="EMP020"/>
    <s v="CUST3502"/>
    <x v="1"/>
    <s v="Electronics"/>
    <n v="2"/>
    <n v="1200"/>
    <n v="2400"/>
    <s v="Low Value"/>
    <x v="1"/>
    <s v="Completed"/>
    <x v="7"/>
    <s v="Q4"/>
    <n v="2025"/>
  </r>
  <r>
    <n v="420"/>
    <d v="2025-08-13T00:00:00"/>
    <x v="3"/>
    <s v="EMP016"/>
    <s v="CUST8715"/>
    <x v="3"/>
    <s v="Furniture"/>
    <n v="3"/>
    <n v="7000"/>
    <n v="21000"/>
    <s v="Low Value"/>
    <x v="1"/>
    <s v="Completed"/>
    <x v="11"/>
    <s v="Q3"/>
    <n v="2025"/>
  </r>
  <r>
    <n v="421"/>
    <d v="2025-07-28T00:00:00"/>
    <x v="1"/>
    <s v="EMP016"/>
    <s v="CUST3606"/>
    <x v="0"/>
    <s v="Electronics"/>
    <n v="1"/>
    <n v="55000"/>
    <n v="55000"/>
    <s v="Medium Value"/>
    <x v="3"/>
    <s v="Completed"/>
    <x v="5"/>
    <s v="Q3"/>
    <n v="2025"/>
  </r>
  <r>
    <n v="422"/>
    <d v="2025-04-13T00:00:00"/>
    <x v="0"/>
    <s v="EMP015"/>
    <s v="CUST2221"/>
    <x v="1"/>
    <s v="Electronics"/>
    <n v="4"/>
    <n v="1200"/>
    <n v="4800"/>
    <s v="Low Value"/>
    <x v="2"/>
    <s v="Completed"/>
    <x v="0"/>
    <s v="Q2"/>
    <n v="2025"/>
  </r>
  <r>
    <n v="423"/>
    <d v="2025-09-29T00:00:00"/>
    <x v="4"/>
    <s v="EMP006"/>
    <s v="CUST6793"/>
    <x v="1"/>
    <s v="Electronics"/>
    <n v="5"/>
    <n v="1200"/>
    <n v="6000"/>
    <s v="Low Value"/>
    <x v="1"/>
    <s v="Completed"/>
    <x v="1"/>
    <s v="Q3"/>
    <n v="2025"/>
  </r>
  <r>
    <n v="424"/>
    <d v="2025-05-27T00:00:00"/>
    <x v="4"/>
    <s v="EMP016"/>
    <s v="CUST4286"/>
    <x v="4"/>
    <s v="Electronics"/>
    <n v="3"/>
    <n v="500"/>
    <n v="1500"/>
    <s v="Low Value"/>
    <x v="3"/>
    <s v="Completed"/>
    <x v="9"/>
    <s v="Q2"/>
    <n v="2025"/>
  </r>
  <r>
    <n v="425"/>
    <d v="2025-10-19T00:00:00"/>
    <x v="2"/>
    <s v="EMP017"/>
    <s v="CUST5088"/>
    <x v="5"/>
    <s v="Electronics"/>
    <n v="7"/>
    <n v="9000"/>
    <n v="63000"/>
    <s v="Medium Value"/>
    <x v="2"/>
    <s v="Completed"/>
    <x v="4"/>
    <s v="Q4"/>
    <n v="2025"/>
  </r>
  <r>
    <n v="426"/>
    <d v="2025-08-12T00:00:00"/>
    <x v="0"/>
    <s v="EMP020"/>
    <s v="CUST5153"/>
    <x v="1"/>
    <s v="Electronics"/>
    <n v="4"/>
    <n v="1200"/>
    <n v="4800"/>
    <s v="Low Value"/>
    <x v="1"/>
    <s v="Pending"/>
    <x v="11"/>
    <s v="Q3"/>
    <n v="2025"/>
  </r>
  <r>
    <n v="427"/>
    <d v="2025-10-17T00:00:00"/>
    <x v="4"/>
    <s v="EMP010"/>
    <s v="CUST2078"/>
    <x v="4"/>
    <s v="Electronics"/>
    <n v="8"/>
    <n v="500"/>
    <n v="4000"/>
    <s v="Low Value"/>
    <x v="3"/>
    <s v="Completed"/>
    <x v="4"/>
    <s v="Q4"/>
    <n v="2025"/>
  </r>
  <r>
    <n v="428"/>
    <d v="2025-06-21T00:00:00"/>
    <x v="0"/>
    <s v="EMP004"/>
    <s v="CUST7995"/>
    <x v="0"/>
    <s v="Electronics"/>
    <n v="3"/>
    <n v="55000"/>
    <n v="165000"/>
    <s v="High Value"/>
    <x v="2"/>
    <s v="Completed"/>
    <x v="6"/>
    <s v="Q2"/>
    <n v="2025"/>
  </r>
  <r>
    <n v="429"/>
    <d v="2025-05-16T00:00:00"/>
    <x v="4"/>
    <s v="EMP010"/>
    <s v="CUST5089"/>
    <x v="4"/>
    <s v="Electronics"/>
    <n v="9"/>
    <n v="500"/>
    <n v="4500"/>
    <s v="Low Value"/>
    <x v="0"/>
    <s v="Completed"/>
    <x v="9"/>
    <s v="Q2"/>
    <n v="2025"/>
  </r>
  <r>
    <n v="430"/>
    <d v="2025-06-18T00:00:00"/>
    <x v="2"/>
    <s v="EMP010"/>
    <s v="CUST3850"/>
    <x v="4"/>
    <s v="Electronics"/>
    <n v="3"/>
    <n v="500"/>
    <n v="1500"/>
    <s v="Low Value"/>
    <x v="2"/>
    <s v="Completed"/>
    <x v="6"/>
    <s v="Q2"/>
    <n v="2025"/>
  </r>
  <r>
    <n v="431"/>
    <d v="2025-07-17T00:00:00"/>
    <x v="3"/>
    <s v="EMP012"/>
    <s v="CUST8411"/>
    <x v="1"/>
    <s v="Electronics"/>
    <n v="7"/>
    <n v="1200"/>
    <n v="8400"/>
    <s v="Low Value"/>
    <x v="3"/>
    <s v="Completed"/>
    <x v="5"/>
    <s v="Q3"/>
    <n v="2025"/>
  </r>
  <r>
    <n v="432"/>
    <d v="2025-07-12T00:00:00"/>
    <x v="0"/>
    <s v="EMP014"/>
    <s v="CUST8046"/>
    <x v="1"/>
    <s v="Electronics"/>
    <n v="1"/>
    <n v="1200"/>
    <n v="1200"/>
    <s v="Low Value"/>
    <x v="2"/>
    <s v="Pending"/>
    <x v="5"/>
    <s v="Q3"/>
    <n v="2025"/>
  </r>
  <r>
    <n v="433"/>
    <d v="2025-11-08T00:00:00"/>
    <x v="3"/>
    <s v="EMP007"/>
    <s v="CUST1030"/>
    <x v="1"/>
    <s v="Electronics"/>
    <n v="1"/>
    <n v="1200"/>
    <n v="1200"/>
    <s v="Low Value"/>
    <x v="3"/>
    <s v="Completed"/>
    <x v="7"/>
    <s v="Q4"/>
    <n v="2025"/>
  </r>
  <r>
    <n v="434"/>
    <d v="2025-09-26T00:00:00"/>
    <x v="2"/>
    <s v="EMP005"/>
    <s v="CUST8069"/>
    <x v="3"/>
    <s v="Furniture"/>
    <n v="1"/>
    <n v="7000"/>
    <n v="7000"/>
    <s v="Low Value"/>
    <x v="2"/>
    <s v="Completed"/>
    <x v="1"/>
    <s v="Q3"/>
    <n v="2025"/>
  </r>
  <r>
    <n v="435"/>
    <d v="2025-12-06T00:00:00"/>
    <x v="2"/>
    <s v="EMP012"/>
    <s v="CUST1468"/>
    <x v="5"/>
    <s v="Electronics"/>
    <n v="3"/>
    <n v="9000"/>
    <n v="27000"/>
    <s v="Low Value"/>
    <x v="1"/>
    <s v="Pending"/>
    <x v="10"/>
    <s v="Q4"/>
    <n v="2025"/>
  </r>
  <r>
    <n v="436"/>
    <d v="2025-10-28T00:00:00"/>
    <x v="3"/>
    <s v="EMP005"/>
    <s v="CUST5986"/>
    <x v="4"/>
    <s v="Electronics"/>
    <n v="5"/>
    <n v="500"/>
    <n v="2500"/>
    <s v="Low Value"/>
    <x v="2"/>
    <s v="Completed"/>
    <x v="4"/>
    <s v="Q4"/>
    <n v="2025"/>
  </r>
  <r>
    <n v="437"/>
    <d v="2025-03-27T00:00:00"/>
    <x v="1"/>
    <s v="EMP019"/>
    <s v="CUST7002"/>
    <x v="5"/>
    <s v="Electronics"/>
    <n v="3"/>
    <n v="9000"/>
    <n v="27000"/>
    <s v="Low Value"/>
    <x v="3"/>
    <s v="Completed"/>
    <x v="2"/>
    <s v="Q1"/>
    <n v="2025"/>
  </r>
  <r>
    <n v="438"/>
    <d v="2025-07-26T00:00:00"/>
    <x v="4"/>
    <s v="EMP014"/>
    <s v="CUST1992"/>
    <x v="4"/>
    <s v="Electronics"/>
    <n v="10"/>
    <n v="500"/>
    <n v="5000"/>
    <s v="Low Value"/>
    <x v="1"/>
    <s v="Pending"/>
    <x v="5"/>
    <s v="Q3"/>
    <n v="2025"/>
  </r>
  <r>
    <n v="439"/>
    <d v="2025-09-13T00:00:00"/>
    <x v="2"/>
    <s v="EMP010"/>
    <s v="CUST8517"/>
    <x v="0"/>
    <s v="Electronics"/>
    <n v="9"/>
    <n v="55000"/>
    <n v="495000"/>
    <s v="High Value"/>
    <x v="1"/>
    <s v="Completed"/>
    <x v="1"/>
    <s v="Q3"/>
    <n v="2025"/>
  </r>
  <r>
    <n v="440"/>
    <d v="2025-12-08T00:00:00"/>
    <x v="3"/>
    <s v="EMP009"/>
    <s v="CUST6592"/>
    <x v="4"/>
    <s v="Electronics"/>
    <n v="9"/>
    <n v="500"/>
    <n v="4500"/>
    <s v="Low Value"/>
    <x v="0"/>
    <s v="Completed"/>
    <x v="10"/>
    <s v="Q4"/>
    <n v="2025"/>
  </r>
  <r>
    <n v="441"/>
    <d v="2025-07-13T00:00:00"/>
    <x v="3"/>
    <s v="EMP001"/>
    <s v="CUST4121"/>
    <x v="3"/>
    <s v="Furniture"/>
    <n v="4"/>
    <n v="7000"/>
    <n v="28000"/>
    <s v="Low Value"/>
    <x v="3"/>
    <s v="Completed"/>
    <x v="5"/>
    <s v="Q3"/>
    <n v="2025"/>
  </r>
  <r>
    <n v="442"/>
    <d v="2025-03-31T00:00:00"/>
    <x v="3"/>
    <s v="EMP002"/>
    <s v="CUST2124"/>
    <x v="4"/>
    <s v="Electronics"/>
    <n v="10"/>
    <n v="500"/>
    <n v="5000"/>
    <s v="Low Value"/>
    <x v="3"/>
    <s v="Completed"/>
    <x v="2"/>
    <s v="Q1"/>
    <n v="2025"/>
  </r>
  <r>
    <n v="443"/>
    <d v="2025-02-05T00:00:00"/>
    <x v="4"/>
    <s v="EMP011"/>
    <s v="CUST7518"/>
    <x v="1"/>
    <s v="Electronics"/>
    <n v="1"/>
    <n v="1200"/>
    <n v="1200"/>
    <s v="Low Value"/>
    <x v="3"/>
    <s v="Completed"/>
    <x v="8"/>
    <s v="Q1"/>
    <n v="2025"/>
  </r>
  <r>
    <n v="444"/>
    <d v="2025-01-28T00:00:00"/>
    <x v="2"/>
    <s v="EMP008"/>
    <s v="CUST7235"/>
    <x v="5"/>
    <s v="Electronics"/>
    <n v="4"/>
    <n v="9000"/>
    <n v="36000"/>
    <s v="Medium Value"/>
    <x v="3"/>
    <s v="Completed"/>
    <x v="3"/>
    <s v="Q1"/>
    <n v="2025"/>
  </r>
  <r>
    <n v="445"/>
    <d v="2025-01-20T00:00:00"/>
    <x v="0"/>
    <s v="EMP006"/>
    <s v="CUST1513"/>
    <x v="1"/>
    <s v="Electronics"/>
    <n v="9"/>
    <n v="1200"/>
    <n v="10800"/>
    <s v="Low Value"/>
    <x v="1"/>
    <s v="Completed"/>
    <x v="3"/>
    <s v="Q1"/>
    <n v="2025"/>
  </r>
  <r>
    <n v="446"/>
    <d v="2025-08-14T00:00:00"/>
    <x v="1"/>
    <s v="EMP001"/>
    <s v="CUST2209"/>
    <x v="4"/>
    <s v="Electronics"/>
    <n v="6"/>
    <n v="500"/>
    <n v="3000"/>
    <s v="Low Value"/>
    <x v="2"/>
    <s v="Completed"/>
    <x v="11"/>
    <s v="Q3"/>
    <n v="2025"/>
  </r>
  <r>
    <n v="447"/>
    <d v="2025-08-30T00:00:00"/>
    <x v="0"/>
    <s v="EMP004"/>
    <s v="CUST8961"/>
    <x v="1"/>
    <s v="Electronics"/>
    <n v="6"/>
    <n v="1200"/>
    <n v="7200"/>
    <s v="Low Value"/>
    <x v="3"/>
    <s v="Completed"/>
    <x v="11"/>
    <s v="Q3"/>
    <n v="2025"/>
  </r>
  <r>
    <n v="448"/>
    <d v="2025-06-30T00:00:00"/>
    <x v="0"/>
    <s v="EMP008"/>
    <s v="CUST4329"/>
    <x v="3"/>
    <s v="Furniture"/>
    <n v="3"/>
    <n v="7000"/>
    <n v="21000"/>
    <s v="Low Value"/>
    <x v="2"/>
    <s v="Pending"/>
    <x v="6"/>
    <s v="Q2"/>
    <n v="2025"/>
  </r>
  <r>
    <n v="449"/>
    <d v="2025-01-04T00:00:00"/>
    <x v="2"/>
    <s v="EMP014"/>
    <s v="CUST7119"/>
    <x v="0"/>
    <s v="Electronics"/>
    <n v="9"/>
    <n v="55000"/>
    <n v="495000"/>
    <s v="High Value"/>
    <x v="1"/>
    <s v="Pending"/>
    <x v="3"/>
    <s v="Q1"/>
    <n v="2025"/>
  </r>
  <r>
    <n v="450"/>
    <d v="2025-05-12T00:00:00"/>
    <x v="4"/>
    <s v="EMP014"/>
    <s v="CUST2120"/>
    <x v="0"/>
    <s v="Electronics"/>
    <n v="6"/>
    <n v="55000"/>
    <n v="330000"/>
    <s v="High Value"/>
    <x v="3"/>
    <s v="Completed"/>
    <x v="9"/>
    <s v="Q2"/>
    <n v="2025"/>
  </r>
  <r>
    <n v="451"/>
    <d v="2025-05-08T00:00:00"/>
    <x v="2"/>
    <s v="EMP011"/>
    <s v="CUST9590"/>
    <x v="4"/>
    <s v="Electronics"/>
    <n v="7"/>
    <n v="500"/>
    <n v="3500"/>
    <s v="Low Value"/>
    <x v="3"/>
    <s v="Completed"/>
    <x v="9"/>
    <s v="Q2"/>
    <n v="2025"/>
  </r>
  <r>
    <n v="452"/>
    <d v="2025-05-05T00:00:00"/>
    <x v="2"/>
    <s v="EMP016"/>
    <s v="CUST8654"/>
    <x v="5"/>
    <s v="Electronics"/>
    <n v="7"/>
    <n v="9000"/>
    <n v="63000"/>
    <s v="Medium Value"/>
    <x v="2"/>
    <s v="Completed"/>
    <x v="9"/>
    <s v="Q2"/>
    <n v="2025"/>
  </r>
  <r>
    <n v="453"/>
    <d v="2025-05-05T00:00:00"/>
    <x v="4"/>
    <s v="EMP008"/>
    <s v="CUST4519"/>
    <x v="3"/>
    <s v="Furniture"/>
    <n v="8"/>
    <n v="7000"/>
    <n v="56000"/>
    <s v="Medium Value"/>
    <x v="3"/>
    <s v="Completed"/>
    <x v="9"/>
    <s v="Q2"/>
    <n v="2025"/>
  </r>
  <r>
    <n v="454"/>
    <d v="2025-09-27T00:00:00"/>
    <x v="2"/>
    <s v="EMP010"/>
    <s v="CUST5859"/>
    <x v="5"/>
    <s v="Electronics"/>
    <n v="2"/>
    <n v="9000"/>
    <n v="18000"/>
    <s v="Low Value"/>
    <x v="2"/>
    <s v="Completed"/>
    <x v="1"/>
    <s v="Q3"/>
    <n v="2025"/>
  </r>
  <r>
    <n v="455"/>
    <d v="2025-02-26T00:00:00"/>
    <x v="3"/>
    <s v="EMP001"/>
    <s v="CUST8790"/>
    <x v="2"/>
    <s v="Furniture"/>
    <n v="10"/>
    <n v="3500"/>
    <n v="35000"/>
    <s v="Medium Value"/>
    <x v="3"/>
    <s v="Completed"/>
    <x v="8"/>
    <s v="Q1"/>
    <n v="2025"/>
  </r>
  <r>
    <n v="456"/>
    <d v="2025-02-07T00:00:00"/>
    <x v="4"/>
    <s v="EMP020"/>
    <s v="CUST4848"/>
    <x v="2"/>
    <s v="Furniture"/>
    <n v="5"/>
    <n v="3500"/>
    <n v="17500"/>
    <s v="Low Value"/>
    <x v="3"/>
    <s v="Completed"/>
    <x v="8"/>
    <s v="Q1"/>
    <n v="2025"/>
  </r>
  <r>
    <n v="457"/>
    <d v="2025-06-01T00:00:00"/>
    <x v="3"/>
    <s v="EMP006"/>
    <s v="CUST8931"/>
    <x v="5"/>
    <s v="Electronics"/>
    <n v="10"/>
    <n v="9000"/>
    <n v="90000"/>
    <s v="Medium Value"/>
    <x v="0"/>
    <s v="Completed"/>
    <x v="6"/>
    <s v="Q2"/>
    <n v="2025"/>
  </r>
  <r>
    <n v="458"/>
    <d v="2025-07-24T00:00:00"/>
    <x v="3"/>
    <s v="EMP015"/>
    <s v="CUST1953"/>
    <x v="4"/>
    <s v="Electronics"/>
    <n v="2"/>
    <n v="500"/>
    <n v="1000"/>
    <s v="Low Value"/>
    <x v="2"/>
    <s v="Completed"/>
    <x v="5"/>
    <s v="Q3"/>
    <n v="2025"/>
  </r>
  <r>
    <n v="459"/>
    <d v="2025-09-18T00:00:00"/>
    <x v="2"/>
    <s v="EMP002"/>
    <s v="CUST1543"/>
    <x v="5"/>
    <s v="Electronics"/>
    <n v="7"/>
    <n v="9000"/>
    <n v="63000"/>
    <s v="Medium Value"/>
    <x v="1"/>
    <s v="Completed"/>
    <x v="1"/>
    <s v="Q3"/>
    <n v="2025"/>
  </r>
  <r>
    <n v="460"/>
    <d v="2025-04-18T00:00:00"/>
    <x v="3"/>
    <s v="EMP009"/>
    <s v="CUST7957"/>
    <x v="1"/>
    <s v="Electronics"/>
    <n v="4"/>
    <n v="1200"/>
    <n v="4800"/>
    <s v="Low Value"/>
    <x v="2"/>
    <s v="Pending"/>
    <x v="0"/>
    <s v="Q2"/>
    <n v="2025"/>
  </r>
  <r>
    <n v="461"/>
    <d v="2025-10-26T00:00:00"/>
    <x v="0"/>
    <s v="EMP016"/>
    <s v="CUST8861"/>
    <x v="0"/>
    <s v="Electronics"/>
    <n v="8"/>
    <n v="55000"/>
    <n v="440000"/>
    <s v="High Value"/>
    <x v="1"/>
    <s v="Cancelled"/>
    <x v="4"/>
    <s v="Q4"/>
    <n v="2025"/>
  </r>
  <r>
    <n v="462"/>
    <d v="2025-12-11T00:00:00"/>
    <x v="2"/>
    <s v="EMP007"/>
    <s v="CUST6354"/>
    <x v="4"/>
    <s v="Electronics"/>
    <n v="9"/>
    <n v="500"/>
    <n v="4500"/>
    <s v="Low Value"/>
    <x v="2"/>
    <s v="Completed"/>
    <x v="10"/>
    <s v="Q4"/>
    <n v="2025"/>
  </r>
  <r>
    <n v="463"/>
    <d v="2025-08-01T00:00:00"/>
    <x v="4"/>
    <s v="EMP010"/>
    <s v="CUST6497"/>
    <x v="2"/>
    <s v="Furniture"/>
    <n v="2"/>
    <n v="3500"/>
    <n v="7000"/>
    <s v="Low Value"/>
    <x v="0"/>
    <s v="Completed"/>
    <x v="11"/>
    <s v="Q3"/>
    <n v="2025"/>
  </r>
  <r>
    <n v="464"/>
    <d v="2025-06-26T00:00:00"/>
    <x v="3"/>
    <s v="EMP017"/>
    <s v="CUST7336"/>
    <x v="5"/>
    <s v="Electronics"/>
    <n v="5"/>
    <n v="9000"/>
    <n v="45000"/>
    <s v="Medium Value"/>
    <x v="1"/>
    <s v="Cancelled"/>
    <x v="6"/>
    <s v="Q2"/>
    <n v="2025"/>
  </r>
  <r>
    <n v="465"/>
    <d v="2025-01-03T00:00:00"/>
    <x v="2"/>
    <s v="EMP019"/>
    <s v="CUST6503"/>
    <x v="0"/>
    <s v="Electronics"/>
    <n v="9"/>
    <n v="55000"/>
    <n v="495000"/>
    <s v="High Value"/>
    <x v="3"/>
    <s v="Completed"/>
    <x v="3"/>
    <s v="Q1"/>
    <n v="2025"/>
  </r>
  <r>
    <n v="466"/>
    <d v="2025-12-22T00:00:00"/>
    <x v="3"/>
    <s v="EMP007"/>
    <s v="CUST5408"/>
    <x v="2"/>
    <s v="Furniture"/>
    <n v="4"/>
    <n v="3500"/>
    <n v="14000"/>
    <s v="Low Value"/>
    <x v="3"/>
    <s v="Completed"/>
    <x v="10"/>
    <s v="Q4"/>
    <n v="2025"/>
  </r>
  <r>
    <n v="467"/>
    <d v="2025-09-23T00:00:00"/>
    <x v="3"/>
    <s v="EMP005"/>
    <s v="CUST1299"/>
    <x v="3"/>
    <s v="Furniture"/>
    <n v="1"/>
    <n v="7000"/>
    <n v="7000"/>
    <s v="Low Value"/>
    <x v="0"/>
    <s v="Completed"/>
    <x v="1"/>
    <s v="Q3"/>
    <n v="2025"/>
  </r>
  <r>
    <n v="468"/>
    <d v="2025-10-20T00:00:00"/>
    <x v="3"/>
    <s v="EMP012"/>
    <s v="CUST9648"/>
    <x v="4"/>
    <s v="Electronics"/>
    <n v="1"/>
    <n v="500"/>
    <n v="500"/>
    <s v="Low Value"/>
    <x v="0"/>
    <s v="Completed"/>
    <x v="4"/>
    <s v="Q4"/>
    <n v="2025"/>
  </r>
  <r>
    <n v="469"/>
    <d v="2025-01-17T00:00:00"/>
    <x v="0"/>
    <s v="EMP005"/>
    <s v="CUST5672"/>
    <x v="2"/>
    <s v="Furniture"/>
    <n v="10"/>
    <n v="3500"/>
    <n v="35000"/>
    <s v="Medium Value"/>
    <x v="0"/>
    <s v="Pending"/>
    <x v="3"/>
    <s v="Q1"/>
    <n v="2025"/>
  </r>
  <r>
    <n v="470"/>
    <d v="2025-12-05T00:00:00"/>
    <x v="4"/>
    <s v="EMP004"/>
    <s v="CUST8292"/>
    <x v="1"/>
    <s v="Electronics"/>
    <n v="8"/>
    <n v="1200"/>
    <n v="9600"/>
    <s v="Low Value"/>
    <x v="3"/>
    <s v="Pending"/>
    <x v="10"/>
    <s v="Q4"/>
    <n v="2025"/>
  </r>
  <r>
    <n v="471"/>
    <d v="2025-01-16T00:00:00"/>
    <x v="4"/>
    <s v="EMP006"/>
    <s v="CUST1091"/>
    <x v="0"/>
    <s v="Electronics"/>
    <n v="7"/>
    <n v="55000"/>
    <n v="385000"/>
    <s v="High Value"/>
    <x v="3"/>
    <s v="Completed"/>
    <x v="3"/>
    <s v="Q1"/>
    <n v="2025"/>
  </r>
  <r>
    <n v="472"/>
    <d v="2025-10-23T00:00:00"/>
    <x v="0"/>
    <s v="EMP011"/>
    <s v="CUST4503"/>
    <x v="0"/>
    <s v="Electronics"/>
    <n v="10"/>
    <n v="55000"/>
    <n v="550000"/>
    <s v="High Value"/>
    <x v="1"/>
    <s v="Completed"/>
    <x v="4"/>
    <s v="Q4"/>
    <n v="2025"/>
  </r>
  <r>
    <n v="473"/>
    <d v="2025-10-18T00:00:00"/>
    <x v="0"/>
    <s v="EMP002"/>
    <s v="CUST1943"/>
    <x v="4"/>
    <s v="Electronics"/>
    <n v="5"/>
    <n v="500"/>
    <n v="2500"/>
    <s v="Low Value"/>
    <x v="1"/>
    <s v="Completed"/>
    <x v="4"/>
    <s v="Q4"/>
    <n v="2025"/>
  </r>
  <r>
    <n v="474"/>
    <d v="2025-04-17T00:00:00"/>
    <x v="0"/>
    <s v="EMP014"/>
    <s v="CUST4783"/>
    <x v="4"/>
    <s v="Electronics"/>
    <n v="9"/>
    <n v="500"/>
    <n v="4500"/>
    <s v="Low Value"/>
    <x v="2"/>
    <s v="Completed"/>
    <x v="0"/>
    <s v="Q2"/>
    <n v="2025"/>
  </r>
  <r>
    <n v="475"/>
    <d v="2025-02-07T00:00:00"/>
    <x v="1"/>
    <s v="EMP016"/>
    <s v="CUST6603"/>
    <x v="0"/>
    <s v="Electronics"/>
    <n v="5"/>
    <n v="55000"/>
    <n v="275000"/>
    <s v="High Value"/>
    <x v="2"/>
    <s v="Cancelled"/>
    <x v="8"/>
    <s v="Q1"/>
    <n v="2025"/>
  </r>
  <r>
    <n v="476"/>
    <d v="2025-02-25T00:00:00"/>
    <x v="0"/>
    <s v="EMP006"/>
    <s v="CUST4615"/>
    <x v="0"/>
    <s v="Electronics"/>
    <n v="7"/>
    <n v="55000"/>
    <n v="385000"/>
    <s v="High Value"/>
    <x v="2"/>
    <s v="Completed"/>
    <x v="8"/>
    <s v="Q1"/>
    <n v="2025"/>
  </r>
  <r>
    <n v="477"/>
    <d v="2025-12-13T00:00:00"/>
    <x v="4"/>
    <s v="EMP009"/>
    <s v="CUST8890"/>
    <x v="4"/>
    <s v="Electronics"/>
    <n v="7"/>
    <n v="500"/>
    <n v="3500"/>
    <s v="Low Value"/>
    <x v="1"/>
    <s v="Completed"/>
    <x v="10"/>
    <s v="Q4"/>
    <n v="2025"/>
  </r>
  <r>
    <n v="478"/>
    <d v="2025-10-03T00:00:00"/>
    <x v="0"/>
    <s v="EMP019"/>
    <s v="CUST2771"/>
    <x v="4"/>
    <s v="Electronics"/>
    <n v="4"/>
    <n v="500"/>
    <n v="2000"/>
    <s v="Low Value"/>
    <x v="2"/>
    <s v="Pending"/>
    <x v="4"/>
    <s v="Q4"/>
    <n v="2025"/>
  </r>
  <r>
    <n v="479"/>
    <d v="2025-03-27T00:00:00"/>
    <x v="4"/>
    <s v="EMP014"/>
    <s v="CUST1932"/>
    <x v="3"/>
    <s v="Furniture"/>
    <n v="9"/>
    <n v="7000"/>
    <n v="63000"/>
    <s v="Medium Value"/>
    <x v="3"/>
    <s v="Completed"/>
    <x v="2"/>
    <s v="Q1"/>
    <n v="2025"/>
  </r>
  <r>
    <n v="480"/>
    <d v="2025-07-05T00:00:00"/>
    <x v="1"/>
    <s v="EMP005"/>
    <s v="CUST4553"/>
    <x v="1"/>
    <s v="Electronics"/>
    <n v="2"/>
    <n v="1200"/>
    <n v="2400"/>
    <s v="Low Value"/>
    <x v="3"/>
    <s v="Completed"/>
    <x v="5"/>
    <s v="Q3"/>
    <n v="2025"/>
  </r>
  <r>
    <n v="481"/>
    <d v="2025-02-10T00:00:00"/>
    <x v="0"/>
    <s v="EMP019"/>
    <s v="CUST7937"/>
    <x v="3"/>
    <s v="Furniture"/>
    <n v="1"/>
    <n v="7000"/>
    <n v="7000"/>
    <s v="Low Value"/>
    <x v="3"/>
    <s v="Completed"/>
    <x v="8"/>
    <s v="Q1"/>
    <n v="2025"/>
  </r>
  <r>
    <n v="482"/>
    <d v="2025-10-01T00:00:00"/>
    <x v="0"/>
    <s v="EMP007"/>
    <s v="CUST4750"/>
    <x v="5"/>
    <s v="Electronics"/>
    <n v="10"/>
    <n v="9000"/>
    <n v="90000"/>
    <s v="Medium Value"/>
    <x v="3"/>
    <s v="Completed"/>
    <x v="4"/>
    <s v="Q4"/>
    <n v="2025"/>
  </r>
  <r>
    <n v="483"/>
    <d v="2025-04-02T00:00:00"/>
    <x v="2"/>
    <s v="EMP011"/>
    <s v="CUST6805"/>
    <x v="0"/>
    <s v="Electronics"/>
    <n v="1"/>
    <n v="55000"/>
    <n v="55000"/>
    <s v="Medium Value"/>
    <x v="2"/>
    <s v="Completed"/>
    <x v="0"/>
    <s v="Q2"/>
    <n v="2025"/>
  </r>
  <r>
    <n v="484"/>
    <d v="2025-01-25T00:00:00"/>
    <x v="0"/>
    <s v="EMP015"/>
    <s v="CUST4785"/>
    <x v="1"/>
    <s v="Electronics"/>
    <n v="3"/>
    <n v="1200"/>
    <n v="3600"/>
    <s v="Low Value"/>
    <x v="1"/>
    <s v="Completed"/>
    <x v="3"/>
    <s v="Q1"/>
    <n v="2025"/>
  </r>
  <r>
    <n v="485"/>
    <d v="2025-10-16T00:00:00"/>
    <x v="1"/>
    <s v="EMP006"/>
    <s v="CUST9401"/>
    <x v="1"/>
    <s v="Electronics"/>
    <n v="5"/>
    <n v="1200"/>
    <n v="6000"/>
    <s v="Low Value"/>
    <x v="1"/>
    <s v="Completed"/>
    <x v="4"/>
    <s v="Q4"/>
    <n v="2025"/>
  </r>
  <r>
    <n v="486"/>
    <d v="2025-03-02T00:00:00"/>
    <x v="2"/>
    <s v="EMP013"/>
    <s v="CUST6489"/>
    <x v="4"/>
    <s v="Electronics"/>
    <n v="2"/>
    <n v="500"/>
    <n v="1000"/>
    <s v="Low Value"/>
    <x v="1"/>
    <s v="Completed"/>
    <x v="2"/>
    <s v="Q1"/>
    <n v="2025"/>
  </r>
  <r>
    <n v="487"/>
    <d v="2025-05-21T00:00:00"/>
    <x v="3"/>
    <s v="EMP011"/>
    <s v="CUST7426"/>
    <x v="2"/>
    <s v="Furniture"/>
    <n v="8"/>
    <n v="3500"/>
    <n v="28000"/>
    <s v="Low Value"/>
    <x v="0"/>
    <s v="Cancelled"/>
    <x v="9"/>
    <s v="Q2"/>
    <n v="2025"/>
  </r>
  <r>
    <n v="488"/>
    <d v="2025-10-14T00:00:00"/>
    <x v="2"/>
    <s v="EMP010"/>
    <s v="CUST8329"/>
    <x v="5"/>
    <s v="Electronics"/>
    <n v="9"/>
    <n v="9000"/>
    <n v="81000"/>
    <s v="Medium Value"/>
    <x v="1"/>
    <s v="Completed"/>
    <x v="4"/>
    <s v="Q4"/>
    <n v="2025"/>
  </r>
  <r>
    <n v="489"/>
    <d v="2025-05-16T00:00:00"/>
    <x v="1"/>
    <s v="EMP013"/>
    <s v="CUST9313"/>
    <x v="4"/>
    <s v="Electronics"/>
    <n v="2"/>
    <n v="500"/>
    <n v="1000"/>
    <s v="Low Value"/>
    <x v="2"/>
    <s v="Completed"/>
    <x v="9"/>
    <s v="Q2"/>
    <n v="2025"/>
  </r>
  <r>
    <n v="490"/>
    <d v="2025-08-27T00:00:00"/>
    <x v="0"/>
    <s v="EMP002"/>
    <s v="CUST6113"/>
    <x v="0"/>
    <s v="Electronics"/>
    <n v="1"/>
    <n v="55000"/>
    <n v="55000"/>
    <s v="Medium Value"/>
    <x v="0"/>
    <s v="Completed"/>
    <x v="11"/>
    <s v="Q3"/>
    <n v="2025"/>
  </r>
  <r>
    <n v="491"/>
    <d v="2025-12-18T00:00:00"/>
    <x v="4"/>
    <s v="EMP007"/>
    <s v="CUST4535"/>
    <x v="0"/>
    <s v="Electronics"/>
    <n v="9"/>
    <n v="55000"/>
    <n v="495000"/>
    <s v="High Value"/>
    <x v="3"/>
    <s v="Completed"/>
    <x v="10"/>
    <s v="Q4"/>
    <n v="2025"/>
  </r>
  <r>
    <n v="492"/>
    <d v="2025-10-12T00:00:00"/>
    <x v="1"/>
    <s v="EMP020"/>
    <s v="CUST2057"/>
    <x v="5"/>
    <s v="Electronics"/>
    <n v="8"/>
    <n v="9000"/>
    <n v="72000"/>
    <s v="Medium Value"/>
    <x v="0"/>
    <s v="Pending"/>
    <x v="4"/>
    <s v="Q4"/>
    <n v="2025"/>
  </r>
  <r>
    <n v="493"/>
    <d v="2025-01-07T00:00:00"/>
    <x v="0"/>
    <s v="EMP011"/>
    <s v="CUST4711"/>
    <x v="0"/>
    <s v="Electronics"/>
    <n v="10"/>
    <n v="55000"/>
    <n v="550000"/>
    <s v="High Value"/>
    <x v="1"/>
    <s v="Completed"/>
    <x v="3"/>
    <s v="Q1"/>
    <n v="2025"/>
  </r>
  <r>
    <n v="494"/>
    <d v="2025-12-24T00:00:00"/>
    <x v="4"/>
    <s v="EMP017"/>
    <s v="CUST4527"/>
    <x v="4"/>
    <s v="Electronics"/>
    <n v="5"/>
    <n v="500"/>
    <n v="2500"/>
    <s v="Low Value"/>
    <x v="2"/>
    <s v="Completed"/>
    <x v="10"/>
    <s v="Q4"/>
    <n v="2025"/>
  </r>
  <r>
    <n v="495"/>
    <d v="2025-04-20T00:00:00"/>
    <x v="4"/>
    <s v="EMP015"/>
    <s v="CUST5722"/>
    <x v="4"/>
    <s v="Electronics"/>
    <n v="6"/>
    <n v="500"/>
    <n v="3000"/>
    <s v="Low Value"/>
    <x v="0"/>
    <s v="Completed"/>
    <x v="0"/>
    <s v="Q2"/>
    <n v="2025"/>
  </r>
  <r>
    <n v="496"/>
    <d v="2025-08-11T00:00:00"/>
    <x v="0"/>
    <s v="EMP014"/>
    <s v="CUST2754"/>
    <x v="3"/>
    <s v="Furniture"/>
    <n v="5"/>
    <n v="7000"/>
    <n v="35000"/>
    <s v="Medium Value"/>
    <x v="1"/>
    <s v="Completed"/>
    <x v="11"/>
    <s v="Q3"/>
    <n v="2025"/>
  </r>
  <r>
    <n v="497"/>
    <d v="2025-09-19T00:00:00"/>
    <x v="4"/>
    <s v="EMP016"/>
    <s v="CUST9140"/>
    <x v="1"/>
    <s v="Electronics"/>
    <n v="2"/>
    <n v="1200"/>
    <n v="2400"/>
    <s v="Low Value"/>
    <x v="0"/>
    <s v="Pending"/>
    <x v="1"/>
    <s v="Q3"/>
    <n v="2025"/>
  </r>
  <r>
    <n v="498"/>
    <d v="2025-09-22T00:00:00"/>
    <x v="2"/>
    <s v="EMP001"/>
    <s v="CUST2350"/>
    <x v="2"/>
    <s v="Furniture"/>
    <n v="10"/>
    <n v="3500"/>
    <n v="35000"/>
    <s v="Medium Value"/>
    <x v="0"/>
    <s v="Completed"/>
    <x v="1"/>
    <s v="Q3"/>
    <n v="2025"/>
  </r>
  <r>
    <n v="499"/>
    <d v="2025-05-03T00:00:00"/>
    <x v="0"/>
    <s v="EMP003"/>
    <s v="CUST2083"/>
    <x v="5"/>
    <s v="Electronics"/>
    <n v="10"/>
    <n v="9000"/>
    <n v="90000"/>
    <s v="Medium Value"/>
    <x v="2"/>
    <s v="Completed"/>
    <x v="9"/>
    <s v="Q2"/>
    <n v="2025"/>
  </r>
  <r>
    <n v="500"/>
    <d v="2025-02-25T00:00:00"/>
    <x v="1"/>
    <s v="EMP015"/>
    <s v="CUST6737"/>
    <x v="5"/>
    <s v="Electronics"/>
    <n v="10"/>
    <n v="9000"/>
    <n v="90000"/>
    <s v="Medium Value"/>
    <x v="3"/>
    <s v="Pending"/>
    <x v="8"/>
    <s v="Q1"/>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3E7B58-B1F5-43FE-846E-2AEFCC412D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0:C17" firstHeaderRow="0" firstDataRow="1" firstDataCol="1"/>
  <pivotFields count="16">
    <pivotField showAll="0"/>
    <pivotField numFmtId="164" showAll="0"/>
    <pivotField showAll="0">
      <items count="6">
        <item x="4"/>
        <item x="2"/>
        <item x="0"/>
        <item x="1"/>
        <item x="3"/>
        <item t="default"/>
      </items>
    </pivotField>
    <pivotField showAll="0"/>
    <pivotField showAll="0"/>
    <pivotField axis="axisRow" showAll="0">
      <items count="7">
        <item x="2"/>
        <item x="3"/>
        <item x="1"/>
        <item x="0"/>
        <item x="4"/>
        <item x="5"/>
        <item t="default"/>
      </items>
    </pivotField>
    <pivotField showAll="0"/>
    <pivotField dataField="1" showAll="0"/>
    <pivotField numFmtId="165" showAll="0"/>
    <pivotField dataField="1" numFmtId="165" showAll="0"/>
    <pivotField showAll="0"/>
    <pivotField showAll="0">
      <items count="5">
        <item x="0"/>
        <item x="1"/>
        <item x="2"/>
        <item x="3"/>
        <item t="default"/>
      </items>
    </pivotField>
    <pivotField showAll="0"/>
    <pivotField showAll="0"/>
    <pivotField showAll="0"/>
    <pivotField showAll="0"/>
  </pivotFields>
  <rowFields count="1">
    <field x="5"/>
  </rowFields>
  <rowItems count="7">
    <i>
      <x/>
    </i>
    <i>
      <x v="1"/>
    </i>
    <i>
      <x v="2"/>
    </i>
    <i>
      <x v="3"/>
    </i>
    <i>
      <x v="4"/>
    </i>
    <i>
      <x v="5"/>
    </i>
    <i t="grand">
      <x/>
    </i>
  </rowItems>
  <colFields count="1">
    <field x="-2"/>
  </colFields>
  <colItems count="2">
    <i>
      <x/>
    </i>
    <i i="1">
      <x v="1"/>
    </i>
  </colItems>
  <dataFields count="2">
    <dataField name="Sum of SalesAmount" fld="9" baseField="0" baseItem="0" numFmtId="165"/>
    <dataField name="Sum of Quantity" fld="7" baseField="0" baseItem="0"/>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CA90FF-5D7F-4E46-9D05-07EC117C6F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7" firstHeaderRow="1" firstDataRow="1" firstDataCol="1"/>
  <pivotFields count="16">
    <pivotField showAll="0"/>
    <pivotField numFmtId="164" showAll="0"/>
    <pivotField axis="axisRow" showAll="0">
      <items count="6">
        <item x="4"/>
        <item x="2"/>
        <item x="0"/>
        <item x="1"/>
        <item x="3"/>
        <item t="default"/>
      </items>
    </pivotField>
    <pivotField showAll="0"/>
    <pivotField showAll="0"/>
    <pivotField showAll="0">
      <items count="7">
        <item x="2"/>
        <item x="3"/>
        <item x="1"/>
        <item x="0"/>
        <item x="4"/>
        <item x="5"/>
        <item t="default"/>
      </items>
    </pivotField>
    <pivotField showAll="0"/>
    <pivotField showAll="0"/>
    <pivotField numFmtId="165" showAll="0"/>
    <pivotField dataField="1" numFmtId="165" showAll="0"/>
    <pivotField showAll="0"/>
    <pivotField showAll="0">
      <items count="5">
        <item x="0"/>
        <item x="1"/>
        <item x="2"/>
        <item x="3"/>
        <item t="default"/>
      </items>
    </pivotField>
    <pivotField showAll="0"/>
    <pivotField showAll="0"/>
    <pivotField showAll="0"/>
    <pivotField showAll="0"/>
  </pivotFields>
  <rowFields count="1">
    <field x="2"/>
  </rowFields>
  <rowItems count="6">
    <i>
      <x/>
    </i>
    <i>
      <x v="1"/>
    </i>
    <i>
      <x v="2"/>
    </i>
    <i>
      <x v="3"/>
    </i>
    <i>
      <x v="4"/>
    </i>
    <i t="grand">
      <x/>
    </i>
  </rowItems>
  <colItems count="1">
    <i/>
  </colItems>
  <dataFields count="1">
    <dataField name="Sum of SalesAmount" fld="9" baseField="0" baseItem="0" numFmtId="165"/>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F391B4-D7DF-4E97-A802-6390664B91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8:B41" firstHeaderRow="1" firstDataRow="1" firstDataCol="1"/>
  <pivotFields count="16">
    <pivotField showAll="0"/>
    <pivotField numFmtId="164" showAll="0"/>
    <pivotField showAll="0">
      <items count="6">
        <item x="4"/>
        <item x="2"/>
        <item x="0"/>
        <item x="1"/>
        <item x="3"/>
        <item t="default"/>
      </items>
    </pivotField>
    <pivotField showAll="0"/>
    <pivotField showAll="0"/>
    <pivotField showAll="0">
      <items count="7">
        <item x="2"/>
        <item x="3"/>
        <item x="1"/>
        <item x="0"/>
        <item x="4"/>
        <item x="5"/>
        <item t="default"/>
      </items>
    </pivotField>
    <pivotField showAll="0"/>
    <pivotField showAll="0"/>
    <pivotField numFmtId="165" showAll="0"/>
    <pivotField dataField="1" numFmtId="165" showAll="0"/>
    <pivotField showAll="0"/>
    <pivotField showAll="0">
      <items count="5">
        <item x="0"/>
        <item x="1"/>
        <item x="2"/>
        <item x="3"/>
        <item t="default"/>
      </items>
    </pivotField>
    <pivotField showAll="0"/>
    <pivotField axis="axisRow" showAll="0">
      <items count="13">
        <item x="3"/>
        <item x="8"/>
        <item x="2"/>
        <item x="0"/>
        <item x="9"/>
        <item x="6"/>
        <item x="5"/>
        <item x="11"/>
        <item x="1"/>
        <item x="4"/>
        <item x="7"/>
        <item x="10"/>
        <item t="default"/>
      </items>
    </pivotField>
    <pivotField showAll="0"/>
    <pivotField showAll="0"/>
  </pivotFields>
  <rowFields count="1">
    <field x="13"/>
  </rowFields>
  <rowItems count="13">
    <i>
      <x/>
    </i>
    <i>
      <x v="1"/>
    </i>
    <i>
      <x v="2"/>
    </i>
    <i>
      <x v="3"/>
    </i>
    <i>
      <x v="4"/>
    </i>
    <i>
      <x v="5"/>
    </i>
    <i>
      <x v="6"/>
    </i>
    <i>
      <x v="7"/>
    </i>
    <i>
      <x v="8"/>
    </i>
    <i>
      <x v="9"/>
    </i>
    <i>
      <x v="10"/>
    </i>
    <i>
      <x v="11"/>
    </i>
    <i t="grand">
      <x/>
    </i>
  </rowItems>
  <colItems count="1">
    <i/>
  </colItems>
  <dataFields count="1">
    <dataField name="Sum of SalesAmount" fld="9" baseField="0" baseItem="0" numFmtId="165"/>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7375F2-75DD-4E61-8BD8-523C753E68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20:B25" firstHeaderRow="1" firstDataRow="1" firstDataCol="1"/>
  <pivotFields count="16">
    <pivotField showAll="0"/>
    <pivotField numFmtId="164" showAll="0"/>
    <pivotField showAll="0">
      <items count="6">
        <item x="4"/>
        <item x="2"/>
        <item x="0"/>
        <item x="1"/>
        <item x="3"/>
        <item t="default"/>
      </items>
    </pivotField>
    <pivotField showAll="0"/>
    <pivotField showAll="0"/>
    <pivotField showAll="0">
      <items count="7">
        <item x="2"/>
        <item x="3"/>
        <item x="1"/>
        <item x="0"/>
        <item x="4"/>
        <item x="5"/>
        <item t="default"/>
      </items>
    </pivotField>
    <pivotField showAll="0"/>
    <pivotField showAll="0"/>
    <pivotField numFmtId="165" showAll="0"/>
    <pivotField dataField="1" numFmtId="165" showAll="0"/>
    <pivotField showAll="0"/>
    <pivotField axis="axisRow" showAll="0">
      <items count="5">
        <item x="0"/>
        <item x="1"/>
        <item x="2"/>
        <item x="3"/>
        <item t="default"/>
      </items>
    </pivotField>
    <pivotField showAll="0"/>
    <pivotField showAll="0"/>
    <pivotField showAll="0"/>
    <pivotField showAll="0"/>
  </pivotFields>
  <rowFields count="1">
    <field x="11"/>
  </rowFields>
  <rowItems count="5">
    <i>
      <x/>
    </i>
    <i>
      <x v="1"/>
    </i>
    <i>
      <x v="2"/>
    </i>
    <i>
      <x v="3"/>
    </i>
    <i t="grand">
      <x/>
    </i>
  </rowItems>
  <colItems count="1">
    <i/>
  </colItems>
  <dataFields count="1">
    <dataField name="Sum of SalesAmount" fld="9" baseField="0" baseItem="0" numFmtId="165"/>
  </dataFields>
  <chartFormats count="15">
    <chartFormat chart="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1" count="1" selected="0">
            <x v="0"/>
          </reference>
        </references>
      </pivotArea>
    </chartFormat>
    <chartFormat chart="15" format="8">
      <pivotArea type="data" outline="0" fieldPosition="0">
        <references count="2">
          <reference field="4294967294" count="1" selected="0">
            <x v="0"/>
          </reference>
          <reference field="11" count="1" selected="0">
            <x v="1"/>
          </reference>
        </references>
      </pivotArea>
    </chartFormat>
    <chartFormat chart="15" format="9">
      <pivotArea type="data" outline="0" fieldPosition="0">
        <references count="2">
          <reference field="4294967294" count="1" selected="0">
            <x v="0"/>
          </reference>
          <reference field="11" count="1" selected="0">
            <x v="2"/>
          </reference>
        </references>
      </pivotArea>
    </chartFormat>
    <chartFormat chart="15"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11" count="1" selected="0">
            <x v="0"/>
          </reference>
        </references>
      </pivotArea>
    </chartFormat>
    <chartFormat chart="26" format="18">
      <pivotArea type="data" outline="0" fieldPosition="0">
        <references count="2">
          <reference field="4294967294" count="1" selected="0">
            <x v="0"/>
          </reference>
          <reference field="11" count="1" selected="0">
            <x v="1"/>
          </reference>
        </references>
      </pivotArea>
    </chartFormat>
    <chartFormat chart="26" format="19">
      <pivotArea type="data" outline="0" fieldPosition="0">
        <references count="2">
          <reference field="4294967294" count="1" selected="0">
            <x v="0"/>
          </reference>
          <reference field="11" count="1" selected="0">
            <x v="2"/>
          </reference>
        </references>
      </pivotArea>
    </chartFormat>
    <chartFormat chart="26" format="2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4B4B35C7-653E-4BD4-9553-FBFCCBBAF9DA}" sourceName="Branch">
  <pivotTables>
    <pivotTable tabId="4" name="PivotTable1"/>
    <pivotTable tabId="4" name="PivotTable2"/>
    <pivotTable tabId="4" name="PivotTable3"/>
    <pivotTable tabId="4" name="PivotTable4"/>
  </pivotTables>
  <data>
    <tabular pivotCacheId="610623302">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B9AA6D6-A8D7-42F3-9E26-1E8F8D110CAB}" sourceName="Product">
  <pivotTables>
    <pivotTable tabId="4" name="PivotTable1"/>
    <pivotTable tabId="4" name="PivotTable2"/>
    <pivotTable tabId="4" name="PivotTable3"/>
    <pivotTable tabId="4" name="PivotTable4"/>
  </pivotTables>
  <data>
    <tabular pivotCacheId="610623302">
      <items count="6">
        <i x="2" s="1"/>
        <i x="3" s="1"/>
        <i x="1" s="1"/>
        <i x="0"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0BDD8184-97E2-4AFB-9ACE-235631DCCFE6}" sourceName="PaymentMode">
  <pivotTables>
    <pivotTable tabId="4" name="PivotTable1"/>
    <pivotTable tabId="4" name="PivotTable2"/>
    <pivotTable tabId="4" name="PivotTable3"/>
    <pivotTable tabId="4" name="PivotTable4"/>
  </pivotTables>
  <data>
    <tabular pivotCacheId="61062330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B9A482E6-3A3B-4A33-BF06-A3A3F44AF196}" cache="Slicer_Branch" caption="Branch" rowHeight="241300"/>
  <slicer name="Product" xr10:uid="{0513135D-4F2A-4533-88E7-4FB8A48EBA35}" cache="Slicer_Product" caption="Product" rowHeight="241300"/>
  <slicer name="PaymentMode" xr10:uid="{D5383DF6-3644-4EF5-8E82-ADE64E0F52AB}" cache="Slicer_PaymentMode" caption="PaymentMod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1"/>
  <sheetViews>
    <sheetView topLeftCell="D1" zoomScale="145" zoomScaleNormal="145" workbookViewId="0">
      <selection activeCell="P9" sqref="P9"/>
    </sheetView>
  </sheetViews>
  <sheetFormatPr defaultRowHeight="15" x14ac:dyDescent="0.25"/>
  <cols>
    <col min="1" max="1" width="8" bestFit="1" customWidth="1"/>
    <col min="2" max="2" width="14.85546875" customWidth="1"/>
    <col min="3" max="3" width="16.7109375" customWidth="1"/>
    <col min="4" max="4" width="16.28515625" customWidth="1"/>
    <col min="5" max="5" width="12.42578125" customWidth="1"/>
    <col min="6" max="6" width="11.85546875" customWidth="1"/>
    <col min="7" max="7" width="12.42578125" customWidth="1"/>
    <col min="8" max="8" width="11.85546875" customWidth="1"/>
    <col min="9" max="9" width="12.28515625" style="1" customWidth="1"/>
    <col min="10" max="10" width="15.42578125" style="1" customWidth="1"/>
    <col min="11" max="11" width="16.5703125" customWidth="1"/>
    <col min="12" max="12" width="14.28515625" bestFit="1" customWidth="1"/>
    <col min="13" max="13" width="13.85546875" customWidth="1"/>
    <col min="14" max="14" width="10.85546875" bestFit="1" customWidth="1"/>
    <col min="15" max="15" width="7.85546875" bestFit="1" customWidth="1"/>
    <col min="16" max="16" width="5.28515625" bestFit="1" customWidth="1"/>
    <col min="17" max="17" width="14.85546875" bestFit="1" customWidth="1"/>
    <col min="18" max="18" width="22.5703125" bestFit="1" customWidth="1"/>
  </cols>
  <sheetData>
    <row r="1" spans="1:18" x14ac:dyDescent="0.25">
      <c r="A1" s="2" t="s">
        <v>0</v>
      </c>
      <c r="B1" s="2" t="s">
        <v>1</v>
      </c>
      <c r="C1" s="2" t="s">
        <v>2</v>
      </c>
      <c r="D1" s="2" t="s">
        <v>3</v>
      </c>
      <c r="E1" s="2" t="s">
        <v>4</v>
      </c>
      <c r="F1" s="2" t="s">
        <v>5</v>
      </c>
      <c r="G1" s="2" t="s">
        <v>6</v>
      </c>
      <c r="H1" s="2" t="s">
        <v>7</v>
      </c>
      <c r="I1" s="3" t="s">
        <v>8</v>
      </c>
      <c r="J1" s="3" t="s">
        <v>9</v>
      </c>
      <c r="K1" s="7" t="s">
        <v>548</v>
      </c>
      <c r="L1" s="2" t="s">
        <v>10</v>
      </c>
      <c r="M1" s="2" t="s">
        <v>11</v>
      </c>
      <c r="N1" s="8" t="s">
        <v>549</v>
      </c>
      <c r="O1" s="8" t="s">
        <v>551</v>
      </c>
      <c r="P1" s="8" t="s">
        <v>550</v>
      </c>
    </row>
    <row r="2" spans="1:18" x14ac:dyDescent="0.25">
      <c r="A2" s="4">
        <v>1</v>
      </c>
      <c r="B2" s="5">
        <v>45758</v>
      </c>
      <c r="C2" s="4" t="s">
        <v>12</v>
      </c>
      <c r="D2" s="4" t="s">
        <v>13</v>
      </c>
      <c r="E2" s="4" t="s">
        <v>14</v>
      </c>
      <c r="F2" s="4" t="s">
        <v>15</v>
      </c>
      <c r="G2" s="4" t="s">
        <v>16</v>
      </c>
      <c r="H2" s="4">
        <v>8</v>
      </c>
      <c r="I2" s="6">
        <v>55000</v>
      </c>
      <c r="J2" s="6">
        <v>440000</v>
      </c>
      <c r="K2" t="str" cm="1">
        <f t="array" ref="K2">_xlfn.IFS(J2&lt;30000,"Low Value",J2&lt;=100000,"Medium Value",J2&gt;100000,"High Value")</f>
        <v>High Value</v>
      </c>
      <c r="L2" s="4" t="s">
        <v>17</v>
      </c>
      <c r="M2" s="4" t="s">
        <v>18</v>
      </c>
      <c r="N2" s="4" t="str">
        <f>TEXT(B2,"MMMM")</f>
        <v>April</v>
      </c>
      <c r="O2" s="4" t="str">
        <f>"Q"&amp;ROUNDUP(MONTH(B2)/3,0)</f>
        <v>Q2</v>
      </c>
      <c r="P2" s="4">
        <f>YEAR(B:B)</f>
        <v>2025</v>
      </c>
    </row>
    <row r="3" spans="1:18" x14ac:dyDescent="0.25">
      <c r="A3" s="4">
        <v>2</v>
      </c>
      <c r="B3" s="5">
        <v>45928</v>
      </c>
      <c r="C3" s="4" t="s">
        <v>19</v>
      </c>
      <c r="D3" s="4" t="s">
        <v>20</v>
      </c>
      <c r="E3" s="4" t="s">
        <v>21</v>
      </c>
      <c r="F3" s="4" t="s">
        <v>22</v>
      </c>
      <c r="G3" s="4" t="s">
        <v>16</v>
      </c>
      <c r="H3" s="4">
        <v>7</v>
      </c>
      <c r="I3" s="6">
        <v>1200</v>
      </c>
      <c r="J3" s="6">
        <v>8400</v>
      </c>
      <c r="K3" t="str" cm="1">
        <f t="array" ref="K3">_xlfn.IFS(J3&lt;30000,"Low Value",J3&lt;=100000,"Medium Value",J3&gt;100000,"High Value")</f>
        <v>Low Value</v>
      </c>
      <c r="L3" s="4" t="s">
        <v>23</v>
      </c>
      <c r="M3" s="4" t="s">
        <v>24</v>
      </c>
      <c r="N3" s="4" t="str">
        <f t="shared" ref="N3:N66" si="0">TEXT(B3,"MMMM")</f>
        <v>September</v>
      </c>
      <c r="O3" s="4" t="str">
        <f t="shared" ref="O3:O66" si="1">"Q"&amp;ROUNDUP(MONTH(B3)/3,0)</f>
        <v>Q3</v>
      </c>
      <c r="P3" s="4">
        <f t="shared" ref="P3:P66" si="2">YEAR(B:B)</f>
        <v>2025</v>
      </c>
    </row>
    <row r="4" spans="1:18" x14ac:dyDescent="0.25">
      <c r="A4" s="4">
        <v>3</v>
      </c>
      <c r="B4" s="5">
        <v>45739</v>
      </c>
      <c r="C4" s="4" t="s">
        <v>25</v>
      </c>
      <c r="D4" s="4" t="s">
        <v>26</v>
      </c>
      <c r="E4" s="4" t="s">
        <v>27</v>
      </c>
      <c r="F4" s="4" t="s">
        <v>28</v>
      </c>
      <c r="G4" s="4" t="s">
        <v>29</v>
      </c>
      <c r="H4" s="4">
        <v>2</v>
      </c>
      <c r="I4" s="6">
        <v>3500</v>
      </c>
      <c r="J4" s="6">
        <v>7000</v>
      </c>
      <c r="K4" t="str" cm="1">
        <f t="array" ref="K4">_xlfn.IFS(J4&lt;30000,"Low Value",J4&lt;=100000,"Medium Value",J4&gt;100000,"High Value")</f>
        <v>Low Value</v>
      </c>
      <c r="L4" s="4" t="s">
        <v>17</v>
      </c>
      <c r="M4" s="4" t="s">
        <v>24</v>
      </c>
      <c r="N4" s="4" t="str">
        <f t="shared" si="0"/>
        <v>March</v>
      </c>
      <c r="O4" s="4" t="str">
        <f t="shared" si="1"/>
        <v>Q1</v>
      </c>
      <c r="P4" s="4">
        <f t="shared" si="2"/>
        <v>2025</v>
      </c>
    </row>
    <row r="5" spans="1:18" x14ac:dyDescent="0.25">
      <c r="A5" s="4">
        <v>4</v>
      </c>
      <c r="B5" s="5">
        <v>45679</v>
      </c>
      <c r="C5" s="4" t="s">
        <v>12</v>
      </c>
      <c r="D5" s="4" t="s">
        <v>30</v>
      </c>
      <c r="E5" s="4" t="s">
        <v>31</v>
      </c>
      <c r="F5" s="4" t="s">
        <v>32</v>
      </c>
      <c r="G5" s="4" t="s">
        <v>29</v>
      </c>
      <c r="H5" s="4">
        <v>4</v>
      </c>
      <c r="I5" s="6">
        <v>7000</v>
      </c>
      <c r="J5" s="6">
        <v>28000</v>
      </c>
      <c r="K5" t="str" cm="1">
        <f t="array" ref="K5">_xlfn.IFS(J5&lt;30000,"Low Value",J5&lt;=100000,"Medium Value",J5&gt;100000,"High Value")</f>
        <v>Low Value</v>
      </c>
      <c r="L5" s="4" t="s">
        <v>33</v>
      </c>
      <c r="M5" s="4" t="s">
        <v>24</v>
      </c>
      <c r="N5" s="4" t="str">
        <f t="shared" si="0"/>
        <v>January</v>
      </c>
      <c r="O5" s="4" t="str">
        <f>"Q"&amp;ROUNDUP(MONTH(B5)/3,0)</f>
        <v>Q1</v>
      </c>
      <c r="P5" s="4">
        <f t="shared" si="2"/>
        <v>2025</v>
      </c>
    </row>
    <row r="6" spans="1:18" x14ac:dyDescent="0.25">
      <c r="A6" s="4">
        <v>5</v>
      </c>
      <c r="B6" s="5">
        <v>45945</v>
      </c>
      <c r="C6" s="4" t="s">
        <v>34</v>
      </c>
      <c r="D6" s="4" t="s">
        <v>30</v>
      </c>
      <c r="E6" s="4" t="s">
        <v>35</v>
      </c>
      <c r="F6" s="4" t="s">
        <v>28</v>
      </c>
      <c r="G6" s="4" t="s">
        <v>29</v>
      </c>
      <c r="H6" s="4">
        <v>2</v>
      </c>
      <c r="I6" s="6">
        <v>3500</v>
      </c>
      <c r="J6" s="6">
        <v>7000</v>
      </c>
      <c r="K6" t="str" cm="1">
        <f t="array" ref="K6">_xlfn.IFS(J6&lt;30000,"Low Value",J6&lt;=100000,"Medium Value",J6&gt;100000,"High Value")</f>
        <v>Low Value</v>
      </c>
      <c r="L6" s="4" t="s">
        <v>33</v>
      </c>
      <c r="M6" s="4" t="s">
        <v>24</v>
      </c>
      <c r="N6" s="4" t="str">
        <f t="shared" si="0"/>
        <v>October</v>
      </c>
      <c r="O6" s="4" t="str">
        <f t="shared" si="1"/>
        <v>Q4</v>
      </c>
      <c r="P6" s="4">
        <f t="shared" si="2"/>
        <v>2025</v>
      </c>
      <c r="Q6" s="4"/>
      <c r="R6" s="4"/>
    </row>
    <row r="7" spans="1:18" x14ac:dyDescent="0.25">
      <c r="A7" s="4">
        <v>6</v>
      </c>
      <c r="B7" s="5">
        <v>45672</v>
      </c>
      <c r="C7" s="4" t="s">
        <v>25</v>
      </c>
      <c r="D7" s="4" t="s">
        <v>36</v>
      </c>
      <c r="E7" s="4" t="s">
        <v>37</v>
      </c>
      <c r="F7" s="4" t="s">
        <v>28</v>
      </c>
      <c r="G7" s="4" t="s">
        <v>29</v>
      </c>
      <c r="H7" s="4">
        <v>9</v>
      </c>
      <c r="I7" s="6">
        <v>3500</v>
      </c>
      <c r="J7" s="6">
        <v>31500</v>
      </c>
      <c r="K7" t="str" cm="1">
        <f t="array" ref="K7">_xlfn.IFS(J7&lt;30000,"Low Value",J7&lt;=100000,"Medium Value",J7&gt;100000,"High Value")</f>
        <v>Medium Value</v>
      </c>
      <c r="L7" s="4" t="s">
        <v>23</v>
      </c>
      <c r="M7" s="4" t="s">
        <v>24</v>
      </c>
      <c r="N7" s="4" t="str">
        <f t="shared" si="0"/>
        <v>January</v>
      </c>
      <c r="O7" s="4" t="str">
        <f t="shared" si="1"/>
        <v>Q1</v>
      </c>
      <c r="P7" s="4">
        <f t="shared" si="2"/>
        <v>2025</v>
      </c>
      <c r="Q7" s="4"/>
      <c r="R7" s="4"/>
    </row>
    <row r="8" spans="1:18" x14ac:dyDescent="0.25">
      <c r="A8" s="4">
        <v>7</v>
      </c>
      <c r="B8" s="5">
        <v>45723</v>
      </c>
      <c r="C8" s="4" t="s">
        <v>12</v>
      </c>
      <c r="D8" s="4" t="s">
        <v>38</v>
      </c>
      <c r="E8" s="4" t="s">
        <v>39</v>
      </c>
      <c r="F8" s="4" t="s">
        <v>40</v>
      </c>
      <c r="G8" s="4" t="s">
        <v>16</v>
      </c>
      <c r="H8" s="4">
        <v>9</v>
      </c>
      <c r="I8" s="6">
        <v>500</v>
      </c>
      <c r="J8" s="6">
        <v>4500</v>
      </c>
      <c r="K8" t="str" cm="1">
        <f t="array" ref="K8">_xlfn.IFS(J8&lt;30000,"Low Value",J8&lt;=100000,"Medium Value",J8&gt;100000,"High Value")</f>
        <v>Low Value</v>
      </c>
      <c r="L8" s="4" t="s">
        <v>23</v>
      </c>
      <c r="M8" s="4" t="s">
        <v>24</v>
      </c>
      <c r="N8" s="4" t="str">
        <f t="shared" si="0"/>
        <v>March</v>
      </c>
      <c r="O8" s="4" t="str">
        <f t="shared" si="1"/>
        <v>Q1</v>
      </c>
      <c r="P8" s="4">
        <f t="shared" si="2"/>
        <v>2025</v>
      </c>
    </row>
    <row r="9" spans="1:18" x14ac:dyDescent="0.25">
      <c r="A9" s="4">
        <v>8</v>
      </c>
      <c r="B9" s="5">
        <v>45852</v>
      </c>
      <c r="C9" s="4" t="s">
        <v>19</v>
      </c>
      <c r="D9" s="4" t="s">
        <v>41</v>
      </c>
      <c r="E9" s="4" t="s">
        <v>42</v>
      </c>
      <c r="F9" s="4" t="s">
        <v>40</v>
      </c>
      <c r="G9" s="4" t="s">
        <v>16</v>
      </c>
      <c r="H9" s="4">
        <v>2</v>
      </c>
      <c r="I9" s="6">
        <v>500</v>
      </c>
      <c r="J9" s="6">
        <v>1000</v>
      </c>
      <c r="K9" t="str" cm="1">
        <f t="array" ref="K9">_xlfn.IFS(J9&lt;30000,"Low Value",J9&lt;=100000,"Medium Value",J9&gt;100000,"High Value")</f>
        <v>Low Value</v>
      </c>
      <c r="L9" s="4" t="s">
        <v>43</v>
      </c>
      <c r="M9" s="4" t="s">
        <v>24</v>
      </c>
      <c r="N9" s="4" t="str">
        <f t="shared" si="0"/>
        <v>July</v>
      </c>
      <c r="O9" s="4" t="str">
        <f t="shared" si="1"/>
        <v>Q3</v>
      </c>
      <c r="P9" s="4">
        <f t="shared" si="2"/>
        <v>2025</v>
      </c>
    </row>
    <row r="10" spans="1:18" x14ac:dyDescent="0.25">
      <c r="A10" s="4">
        <v>9</v>
      </c>
      <c r="B10" s="5">
        <v>45662</v>
      </c>
      <c r="C10" s="4" t="s">
        <v>34</v>
      </c>
      <c r="D10" s="4" t="s">
        <v>44</v>
      </c>
      <c r="E10" s="4" t="s">
        <v>45</v>
      </c>
      <c r="F10" s="4" t="s">
        <v>15</v>
      </c>
      <c r="G10" s="4" t="s">
        <v>16</v>
      </c>
      <c r="H10" s="4">
        <v>10</v>
      </c>
      <c r="I10" s="6">
        <v>55000</v>
      </c>
      <c r="J10" s="6">
        <v>550000</v>
      </c>
      <c r="K10" t="str" cm="1">
        <f t="array" ref="K10">_xlfn.IFS(J10&lt;30000,"Low Value",J10&lt;=100000,"Medium Value",J10&gt;100000,"High Value")</f>
        <v>High Value</v>
      </c>
      <c r="L10" s="4" t="s">
        <v>33</v>
      </c>
      <c r="M10" s="4" t="s">
        <v>24</v>
      </c>
      <c r="N10" s="4" t="str">
        <f t="shared" si="0"/>
        <v>January</v>
      </c>
      <c r="O10" s="4" t="str">
        <f t="shared" si="1"/>
        <v>Q1</v>
      </c>
      <c r="P10" s="4">
        <f t="shared" si="2"/>
        <v>2025</v>
      </c>
    </row>
    <row r="11" spans="1:18" x14ac:dyDescent="0.25">
      <c r="A11" s="4">
        <v>10</v>
      </c>
      <c r="B11" s="5">
        <v>45726</v>
      </c>
      <c r="C11" s="4" t="s">
        <v>25</v>
      </c>
      <c r="D11" s="4" t="s">
        <v>26</v>
      </c>
      <c r="E11" s="4" t="s">
        <v>46</v>
      </c>
      <c r="F11" s="4" t="s">
        <v>47</v>
      </c>
      <c r="G11" s="4" t="s">
        <v>16</v>
      </c>
      <c r="H11" s="4">
        <v>6</v>
      </c>
      <c r="I11" s="6">
        <v>9000</v>
      </c>
      <c r="J11" s="6">
        <v>54000</v>
      </c>
      <c r="K11" t="str" cm="1">
        <f t="array" ref="K11">_xlfn.IFS(J11&lt;30000,"Low Value",J11&lt;=100000,"Medium Value",J11&gt;100000,"High Value")</f>
        <v>Medium Value</v>
      </c>
      <c r="L11" s="4" t="s">
        <v>17</v>
      </c>
      <c r="M11" s="4" t="s">
        <v>24</v>
      </c>
      <c r="N11" s="4" t="str">
        <f t="shared" si="0"/>
        <v>March</v>
      </c>
      <c r="O11" s="4" t="str">
        <f t="shared" si="1"/>
        <v>Q1</v>
      </c>
      <c r="P11" s="4">
        <f t="shared" si="2"/>
        <v>2025</v>
      </c>
    </row>
    <row r="12" spans="1:18" x14ac:dyDescent="0.25">
      <c r="A12" s="4">
        <v>11</v>
      </c>
      <c r="B12" s="5">
        <v>45830</v>
      </c>
      <c r="C12" s="4" t="s">
        <v>48</v>
      </c>
      <c r="D12" s="4" t="s">
        <v>49</v>
      </c>
      <c r="E12" s="4" t="s">
        <v>50</v>
      </c>
      <c r="F12" s="4" t="s">
        <v>28</v>
      </c>
      <c r="G12" s="4" t="s">
        <v>29</v>
      </c>
      <c r="H12" s="4">
        <v>4</v>
      </c>
      <c r="I12" s="6">
        <v>3500</v>
      </c>
      <c r="J12" s="6">
        <v>14000</v>
      </c>
      <c r="K12" t="str" cm="1">
        <f t="array" ref="K12">_xlfn.IFS(J12&lt;30000,"Low Value",J12&lt;=100000,"Medium Value",J12&gt;100000,"High Value")</f>
        <v>Low Value</v>
      </c>
      <c r="L12" s="4" t="s">
        <v>33</v>
      </c>
      <c r="M12" s="4" t="s">
        <v>18</v>
      </c>
      <c r="N12" s="4" t="str">
        <f t="shared" si="0"/>
        <v>June</v>
      </c>
      <c r="O12" s="4" t="str">
        <f t="shared" si="1"/>
        <v>Q2</v>
      </c>
      <c r="P12" s="4">
        <f t="shared" si="2"/>
        <v>2025</v>
      </c>
    </row>
    <row r="13" spans="1:18" x14ac:dyDescent="0.25">
      <c r="A13" s="4">
        <v>12</v>
      </c>
      <c r="B13" s="5">
        <v>45988</v>
      </c>
      <c r="C13" s="4" t="s">
        <v>19</v>
      </c>
      <c r="D13" s="4" t="s">
        <v>49</v>
      </c>
      <c r="E13" s="4" t="s">
        <v>51</v>
      </c>
      <c r="F13" s="4" t="s">
        <v>40</v>
      </c>
      <c r="G13" s="4" t="s">
        <v>16</v>
      </c>
      <c r="H13" s="4">
        <v>7</v>
      </c>
      <c r="I13" s="6">
        <v>500</v>
      </c>
      <c r="J13" s="6">
        <v>3500</v>
      </c>
      <c r="K13" t="str" cm="1">
        <f t="array" ref="K13">_xlfn.IFS(J13&lt;30000,"Low Value",J13&lt;=100000,"Medium Value",J13&gt;100000,"High Value")</f>
        <v>Low Value</v>
      </c>
      <c r="L13" s="4" t="s">
        <v>43</v>
      </c>
      <c r="M13" s="4" t="s">
        <v>24</v>
      </c>
      <c r="N13" s="4" t="str">
        <f t="shared" si="0"/>
        <v>November</v>
      </c>
      <c r="O13" s="4" t="str">
        <f t="shared" si="1"/>
        <v>Q4</v>
      </c>
      <c r="P13" s="4">
        <f t="shared" si="2"/>
        <v>2025</v>
      </c>
    </row>
    <row r="14" spans="1:18" x14ac:dyDescent="0.25">
      <c r="A14" s="4">
        <v>13</v>
      </c>
      <c r="B14" s="5">
        <v>45726</v>
      </c>
      <c r="C14" s="4" t="s">
        <v>19</v>
      </c>
      <c r="D14" s="4" t="s">
        <v>52</v>
      </c>
      <c r="E14" s="4" t="s">
        <v>53</v>
      </c>
      <c r="F14" s="4" t="s">
        <v>28</v>
      </c>
      <c r="G14" s="4" t="s">
        <v>29</v>
      </c>
      <c r="H14" s="4">
        <v>1</v>
      </c>
      <c r="I14" s="6">
        <v>3500</v>
      </c>
      <c r="J14" s="6">
        <v>3500</v>
      </c>
      <c r="K14" t="str" cm="1">
        <f t="array" ref="K14">_xlfn.IFS(J14&lt;30000,"Low Value",J14&lt;=100000,"Medium Value",J14&gt;100000,"High Value")</f>
        <v>Low Value</v>
      </c>
      <c r="L14" s="4" t="s">
        <v>33</v>
      </c>
      <c r="M14" s="4" t="s">
        <v>54</v>
      </c>
      <c r="N14" s="4" t="str">
        <f t="shared" si="0"/>
        <v>March</v>
      </c>
      <c r="O14" s="4" t="str">
        <f t="shared" si="1"/>
        <v>Q1</v>
      </c>
      <c r="P14" s="4">
        <f t="shared" si="2"/>
        <v>2025</v>
      </c>
    </row>
    <row r="15" spans="1:18" x14ac:dyDescent="0.25">
      <c r="A15" s="4">
        <v>14</v>
      </c>
      <c r="B15" s="5">
        <v>45732</v>
      </c>
      <c r="C15" s="4" t="s">
        <v>12</v>
      </c>
      <c r="D15" s="4" t="s">
        <v>55</v>
      </c>
      <c r="E15" s="4" t="s">
        <v>56</v>
      </c>
      <c r="F15" s="4" t="s">
        <v>28</v>
      </c>
      <c r="G15" s="4" t="s">
        <v>29</v>
      </c>
      <c r="H15" s="4">
        <v>7</v>
      </c>
      <c r="I15" s="6">
        <v>3500</v>
      </c>
      <c r="J15" s="6">
        <v>24500</v>
      </c>
      <c r="K15" t="str" cm="1">
        <f t="array" ref="K15">_xlfn.IFS(J15&lt;30000,"Low Value",J15&lt;=100000,"Medium Value",J15&gt;100000,"High Value")</f>
        <v>Low Value</v>
      </c>
      <c r="L15" s="4" t="s">
        <v>17</v>
      </c>
      <c r="M15" s="4" t="s">
        <v>24</v>
      </c>
      <c r="N15" s="4" t="str">
        <f t="shared" si="0"/>
        <v>March</v>
      </c>
      <c r="O15" s="4" t="str">
        <f t="shared" si="1"/>
        <v>Q1</v>
      </c>
      <c r="P15" s="4">
        <f t="shared" si="2"/>
        <v>2025</v>
      </c>
    </row>
    <row r="16" spans="1:18" x14ac:dyDescent="0.25">
      <c r="A16" s="4">
        <v>15</v>
      </c>
      <c r="B16" s="5">
        <v>45700</v>
      </c>
      <c r="C16" s="4" t="s">
        <v>19</v>
      </c>
      <c r="D16" s="4" t="s">
        <v>49</v>
      </c>
      <c r="E16" s="4" t="s">
        <v>57</v>
      </c>
      <c r="F16" s="4" t="s">
        <v>28</v>
      </c>
      <c r="G16" s="4" t="s">
        <v>29</v>
      </c>
      <c r="H16" s="4">
        <v>3</v>
      </c>
      <c r="I16" s="6">
        <v>3500</v>
      </c>
      <c r="J16" s="6">
        <v>10500</v>
      </c>
      <c r="K16" t="str" cm="1">
        <f t="array" ref="K16">_xlfn.IFS(J16&lt;30000,"Low Value",J16&lt;=100000,"Medium Value",J16&gt;100000,"High Value")</f>
        <v>Low Value</v>
      </c>
      <c r="L16" s="4" t="s">
        <v>43</v>
      </c>
      <c r="M16" s="4" t="s">
        <v>54</v>
      </c>
      <c r="N16" s="4" t="str">
        <f t="shared" si="0"/>
        <v>February</v>
      </c>
      <c r="O16" s="4" t="str">
        <f t="shared" si="1"/>
        <v>Q1</v>
      </c>
      <c r="P16" s="4">
        <f t="shared" si="2"/>
        <v>2025</v>
      </c>
    </row>
    <row r="17" spans="1:16" x14ac:dyDescent="0.25">
      <c r="A17" s="4">
        <v>16</v>
      </c>
      <c r="B17" s="5">
        <v>45785</v>
      </c>
      <c r="C17" s="4" t="s">
        <v>12</v>
      </c>
      <c r="D17" s="4" t="s">
        <v>49</v>
      </c>
      <c r="E17" s="4" t="s">
        <v>58</v>
      </c>
      <c r="F17" s="4" t="s">
        <v>47</v>
      </c>
      <c r="G17" s="4" t="s">
        <v>16</v>
      </c>
      <c r="H17" s="4">
        <v>7</v>
      </c>
      <c r="I17" s="6">
        <v>9000</v>
      </c>
      <c r="J17" s="6">
        <v>63000</v>
      </c>
      <c r="K17" t="str" cm="1">
        <f t="array" ref="K17">_xlfn.IFS(J17&lt;30000,"Low Value",J17&lt;=100000,"Medium Value",J17&gt;100000,"High Value")</f>
        <v>Medium Value</v>
      </c>
      <c r="L17" s="4" t="s">
        <v>43</v>
      </c>
      <c r="M17" s="4" t="s">
        <v>24</v>
      </c>
      <c r="N17" s="4" t="str">
        <f t="shared" si="0"/>
        <v>May</v>
      </c>
      <c r="O17" s="4" t="str">
        <f t="shared" si="1"/>
        <v>Q2</v>
      </c>
      <c r="P17" s="4">
        <f t="shared" si="2"/>
        <v>2025</v>
      </c>
    </row>
    <row r="18" spans="1:16" x14ac:dyDescent="0.25">
      <c r="A18" s="4">
        <v>17</v>
      </c>
      <c r="B18" s="5">
        <v>45940</v>
      </c>
      <c r="C18" s="4" t="s">
        <v>34</v>
      </c>
      <c r="D18" s="4" t="s">
        <v>59</v>
      </c>
      <c r="E18" s="4" t="s">
        <v>60</v>
      </c>
      <c r="F18" s="4" t="s">
        <v>15</v>
      </c>
      <c r="G18" s="4" t="s">
        <v>16</v>
      </c>
      <c r="H18" s="4">
        <v>8</v>
      </c>
      <c r="I18" s="6">
        <v>55000</v>
      </c>
      <c r="J18" s="6">
        <v>440000</v>
      </c>
      <c r="K18" t="str" cm="1">
        <f t="array" ref="K18">_xlfn.IFS(J18&lt;30000,"Low Value",J18&lt;=100000,"Medium Value",J18&gt;100000,"High Value")</f>
        <v>High Value</v>
      </c>
      <c r="L18" s="4" t="s">
        <v>23</v>
      </c>
      <c r="M18" s="4" t="s">
        <v>24</v>
      </c>
      <c r="N18" s="4" t="str">
        <f t="shared" si="0"/>
        <v>October</v>
      </c>
      <c r="O18" s="4" t="str">
        <f t="shared" si="1"/>
        <v>Q4</v>
      </c>
      <c r="P18" s="4">
        <f t="shared" si="2"/>
        <v>2025</v>
      </c>
    </row>
    <row r="19" spans="1:16" x14ac:dyDescent="0.25">
      <c r="A19" s="4">
        <v>18</v>
      </c>
      <c r="B19" s="5">
        <v>45853</v>
      </c>
      <c r="C19" s="4" t="s">
        <v>12</v>
      </c>
      <c r="D19" s="4" t="s">
        <v>20</v>
      </c>
      <c r="E19" s="4" t="s">
        <v>61</v>
      </c>
      <c r="F19" s="4" t="s">
        <v>47</v>
      </c>
      <c r="G19" s="4" t="s">
        <v>16</v>
      </c>
      <c r="H19" s="4">
        <v>8</v>
      </c>
      <c r="I19" s="6">
        <v>9000</v>
      </c>
      <c r="J19" s="6">
        <v>72000</v>
      </c>
      <c r="K19" t="str" cm="1">
        <f t="array" ref="K19">_xlfn.IFS(J19&lt;30000,"Low Value",J19&lt;=100000,"Medium Value",J19&gt;100000,"High Value")</f>
        <v>Medium Value</v>
      </c>
      <c r="L19" s="4" t="s">
        <v>33</v>
      </c>
      <c r="M19" s="4" t="s">
        <v>24</v>
      </c>
      <c r="N19" s="4" t="str">
        <f t="shared" si="0"/>
        <v>July</v>
      </c>
      <c r="O19" s="4" t="str">
        <f t="shared" si="1"/>
        <v>Q3</v>
      </c>
      <c r="P19" s="4">
        <f t="shared" si="2"/>
        <v>2025</v>
      </c>
    </row>
    <row r="20" spans="1:16" x14ac:dyDescent="0.25">
      <c r="A20" s="4">
        <v>19</v>
      </c>
      <c r="B20" s="5">
        <v>45946</v>
      </c>
      <c r="C20" s="4" t="s">
        <v>25</v>
      </c>
      <c r="D20" s="4" t="s">
        <v>38</v>
      </c>
      <c r="E20" s="4" t="s">
        <v>62</v>
      </c>
      <c r="F20" s="4" t="s">
        <v>40</v>
      </c>
      <c r="G20" s="4" t="s">
        <v>16</v>
      </c>
      <c r="H20" s="4">
        <v>6</v>
      </c>
      <c r="I20" s="6">
        <v>500</v>
      </c>
      <c r="J20" s="6">
        <v>3000</v>
      </c>
      <c r="K20" t="str" cm="1">
        <f t="array" ref="K20">_xlfn.IFS(J20&lt;30000,"Low Value",J20&lt;=100000,"Medium Value",J20&gt;100000,"High Value")</f>
        <v>Low Value</v>
      </c>
      <c r="L20" s="4" t="s">
        <v>43</v>
      </c>
      <c r="M20" s="4" t="s">
        <v>54</v>
      </c>
      <c r="N20" s="4" t="str">
        <f t="shared" si="0"/>
        <v>October</v>
      </c>
      <c r="O20" s="4" t="str">
        <f t="shared" si="1"/>
        <v>Q4</v>
      </c>
      <c r="P20" s="4">
        <f t="shared" si="2"/>
        <v>2025</v>
      </c>
    </row>
    <row r="21" spans="1:16" x14ac:dyDescent="0.25">
      <c r="A21" s="4">
        <v>20</v>
      </c>
      <c r="B21" s="5">
        <v>45816</v>
      </c>
      <c r="C21" s="4" t="s">
        <v>25</v>
      </c>
      <c r="D21" s="4" t="s">
        <v>55</v>
      </c>
      <c r="E21" s="4" t="s">
        <v>63</v>
      </c>
      <c r="F21" s="4" t="s">
        <v>47</v>
      </c>
      <c r="G21" s="4" t="s">
        <v>16</v>
      </c>
      <c r="H21" s="4">
        <v>10</v>
      </c>
      <c r="I21" s="6">
        <v>9000</v>
      </c>
      <c r="J21" s="6">
        <v>90000</v>
      </c>
      <c r="K21" t="str" cm="1">
        <f t="array" ref="K21">_xlfn.IFS(J21&lt;30000,"Low Value",J21&lt;=100000,"Medium Value",J21&gt;100000,"High Value")</f>
        <v>Medium Value</v>
      </c>
      <c r="L21" s="4" t="s">
        <v>17</v>
      </c>
      <c r="M21" s="4" t="s">
        <v>24</v>
      </c>
      <c r="N21" s="4" t="str">
        <f t="shared" si="0"/>
        <v>June</v>
      </c>
      <c r="O21" s="4" t="str">
        <f t="shared" si="1"/>
        <v>Q2</v>
      </c>
      <c r="P21" s="4">
        <f t="shared" si="2"/>
        <v>2025</v>
      </c>
    </row>
    <row r="22" spans="1:16" x14ac:dyDescent="0.25">
      <c r="A22" s="4">
        <v>21</v>
      </c>
      <c r="B22" s="5">
        <v>45698</v>
      </c>
      <c r="C22" s="4" t="s">
        <v>48</v>
      </c>
      <c r="D22" s="4" t="s">
        <v>64</v>
      </c>
      <c r="E22" s="4" t="s">
        <v>65</v>
      </c>
      <c r="F22" s="4" t="s">
        <v>40</v>
      </c>
      <c r="G22" s="4" t="s">
        <v>16</v>
      </c>
      <c r="H22" s="4">
        <v>5</v>
      </c>
      <c r="I22" s="6">
        <v>500</v>
      </c>
      <c r="J22" s="6">
        <v>2500</v>
      </c>
      <c r="K22" t="str" cm="1">
        <f t="array" ref="K22">_xlfn.IFS(J22&lt;30000,"Low Value",J22&lt;=100000,"Medium Value",J22&gt;100000,"High Value")</f>
        <v>Low Value</v>
      </c>
      <c r="L22" s="4" t="s">
        <v>17</v>
      </c>
      <c r="M22" s="4" t="s">
        <v>24</v>
      </c>
      <c r="N22" s="4" t="str">
        <f t="shared" si="0"/>
        <v>February</v>
      </c>
      <c r="O22" s="4" t="str">
        <f t="shared" si="1"/>
        <v>Q1</v>
      </c>
      <c r="P22" s="4">
        <f t="shared" si="2"/>
        <v>2025</v>
      </c>
    </row>
    <row r="23" spans="1:16" x14ac:dyDescent="0.25">
      <c r="A23" s="4">
        <v>22</v>
      </c>
      <c r="B23" s="5">
        <v>45913</v>
      </c>
      <c r="C23" s="4" t="s">
        <v>34</v>
      </c>
      <c r="D23" s="4" t="s">
        <v>66</v>
      </c>
      <c r="E23" s="4" t="s">
        <v>67</v>
      </c>
      <c r="F23" s="4" t="s">
        <v>15</v>
      </c>
      <c r="G23" s="4" t="s">
        <v>16</v>
      </c>
      <c r="H23" s="4">
        <v>7</v>
      </c>
      <c r="I23" s="6">
        <v>55000</v>
      </c>
      <c r="J23" s="6">
        <v>385000</v>
      </c>
      <c r="K23" t="str" cm="1">
        <f t="array" ref="K23">_xlfn.IFS(J23&lt;30000,"Low Value",J23&lt;=100000,"Medium Value",J23&gt;100000,"High Value")</f>
        <v>High Value</v>
      </c>
      <c r="L23" s="4" t="s">
        <v>23</v>
      </c>
      <c r="M23" s="4" t="s">
        <v>54</v>
      </c>
      <c r="N23" s="4" t="str">
        <f t="shared" si="0"/>
        <v>September</v>
      </c>
      <c r="O23" s="4" t="str">
        <f t="shared" si="1"/>
        <v>Q3</v>
      </c>
      <c r="P23" s="4">
        <f t="shared" si="2"/>
        <v>2025</v>
      </c>
    </row>
    <row r="24" spans="1:16" x14ac:dyDescent="0.25">
      <c r="A24" s="4">
        <v>23</v>
      </c>
      <c r="B24" s="5">
        <v>45777</v>
      </c>
      <c r="C24" s="4" t="s">
        <v>48</v>
      </c>
      <c r="D24" s="4" t="s">
        <v>59</v>
      </c>
      <c r="E24" s="4" t="s">
        <v>68</v>
      </c>
      <c r="F24" s="4" t="s">
        <v>15</v>
      </c>
      <c r="G24" s="4" t="s">
        <v>16</v>
      </c>
      <c r="H24" s="4">
        <v>6</v>
      </c>
      <c r="I24" s="6">
        <v>55000</v>
      </c>
      <c r="J24" s="6">
        <v>330000</v>
      </c>
      <c r="K24" t="str" cm="1">
        <f t="array" ref="K24">_xlfn.IFS(J24&lt;30000,"Low Value",J24&lt;=100000,"Medium Value",J24&gt;100000,"High Value")</f>
        <v>High Value</v>
      </c>
      <c r="L24" s="4" t="s">
        <v>33</v>
      </c>
      <c r="M24" s="4" t="s">
        <v>18</v>
      </c>
      <c r="N24" s="4" t="str">
        <f t="shared" si="0"/>
        <v>April</v>
      </c>
      <c r="O24" s="4" t="str">
        <f t="shared" si="1"/>
        <v>Q2</v>
      </c>
      <c r="P24" s="4">
        <f t="shared" si="2"/>
        <v>2025</v>
      </c>
    </row>
    <row r="25" spans="1:16" x14ac:dyDescent="0.25">
      <c r="A25" s="4">
        <v>24</v>
      </c>
      <c r="B25" s="5">
        <v>45699</v>
      </c>
      <c r="C25" s="4" t="s">
        <v>25</v>
      </c>
      <c r="D25" s="4" t="s">
        <v>20</v>
      </c>
      <c r="E25" s="4" t="s">
        <v>69</v>
      </c>
      <c r="F25" s="4" t="s">
        <v>22</v>
      </c>
      <c r="G25" s="4" t="s">
        <v>16</v>
      </c>
      <c r="H25" s="4">
        <v>9</v>
      </c>
      <c r="I25" s="6">
        <v>1200</v>
      </c>
      <c r="J25" s="6">
        <v>10800</v>
      </c>
      <c r="K25" t="str" cm="1">
        <f t="array" ref="K25">_xlfn.IFS(J25&lt;30000,"Low Value",J25&lt;=100000,"Medium Value",J25&gt;100000,"High Value")</f>
        <v>Low Value</v>
      </c>
      <c r="L25" s="4" t="s">
        <v>17</v>
      </c>
      <c r="M25" s="4" t="s">
        <v>24</v>
      </c>
      <c r="N25" s="4" t="str">
        <f t="shared" si="0"/>
        <v>February</v>
      </c>
      <c r="O25" s="4" t="str">
        <f t="shared" si="1"/>
        <v>Q1</v>
      </c>
      <c r="P25" s="4">
        <f t="shared" si="2"/>
        <v>2025</v>
      </c>
    </row>
    <row r="26" spans="1:16" x14ac:dyDescent="0.25">
      <c r="A26" s="4">
        <v>25</v>
      </c>
      <c r="B26" s="5">
        <v>45787</v>
      </c>
      <c r="C26" s="4" t="s">
        <v>12</v>
      </c>
      <c r="D26" s="4" t="s">
        <v>30</v>
      </c>
      <c r="E26" s="4" t="s">
        <v>70</v>
      </c>
      <c r="F26" s="4" t="s">
        <v>28</v>
      </c>
      <c r="G26" s="4" t="s">
        <v>29</v>
      </c>
      <c r="H26" s="4">
        <v>4</v>
      </c>
      <c r="I26" s="6">
        <v>3500</v>
      </c>
      <c r="J26" s="6">
        <v>14000</v>
      </c>
      <c r="K26" t="str" cm="1">
        <f t="array" ref="K26">_xlfn.IFS(J26&lt;30000,"Low Value",J26&lt;=100000,"Medium Value",J26&gt;100000,"High Value")</f>
        <v>Low Value</v>
      </c>
      <c r="L26" s="4" t="s">
        <v>33</v>
      </c>
      <c r="M26" s="4" t="s">
        <v>24</v>
      </c>
      <c r="N26" s="4" t="str">
        <f t="shared" si="0"/>
        <v>May</v>
      </c>
      <c r="O26" s="4" t="str">
        <f t="shared" si="1"/>
        <v>Q2</v>
      </c>
      <c r="P26" s="4">
        <f t="shared" si="2"/>
        <v>2025</v>
      </c>
    </row>
    <row r="27" spans="1:16" x14ac:dyDescent="0.25">
      <c r="A27" s="4">
        <v>26</v>
      </c>
      <c r="B27" s="5">
        <v>45868</v>
      </c>
      <c r="C27" s="4" t="s">
        <v>19</v>
      </c>
      <c r="D27" s="4" t="s">
        <v>71</v>
      </c>
      <c r="E27" s="4" t="s">
        <v>72</v>
      </c>
      <c r="F27" s="4" t="s">
        <v>32</v>
      </c>
      <c r="G27" s="4" t="s">
        <v>29</v>
      </c>
      <c r="H27" s="4">
        <v>9</v>
      </c>
      <c r="I27" s="6">
        <v>7000</v>
      </c>
      <c r="J27" s="6">
        <v>63000</v>
      </c>
      <c r="K27" t="str" cm="1">
        <f t="array" ref="K27">_xlfn.IFS(J27&lt;30000,"Low Value",J27&lt;=100000,"Medium Value",J27&gt;100000,"High Value")</f>
        <v>Medium Value</v>
      </c>
      <c r="L27" s="4" t="s">
        <v>17</v>
      </c>
      <c r="M27" s="4" t="s">
        <v>24</v>
      </c>
      <c r="N27" s="4" t="str">
        <f t="shared" si="0"/>
        <v>July</v>
      </c>
      <c r="O27" s="4" t="str">
        <f t="shared" si="1"/>
        <v>Q3</v>
      </c>
      <c r="P27" s="4">
        <f t="shared" si="2"/>
        <v>2025</v>
      </c>
    </row>
    <row r="28" spans="1:16" x14ac:dyDescent="0.25">
      <c r="A28" s="4">
        <v>27</v>
      </c>
      <c r="B28" s="5">
        <v>46013</v>
      </c>
      <c r="C28" s="4" t="s">
        <v>34</v>
      </c>
      <c r="D28" s="4" t="s">
        <v>73</v>
      </c>
      <c r="E28" s="4" t="s">
        <v>74</v>
      </c>
      <c r="F28" s="4" t="s">
        <v>47</v>
      </c>
      <c r="G28" s="4" t="s">
        <v>16</v>
      </c>
      <c r="H28" s="4">
        <v>1</v>
      </c>
      <c r="I28" s="6">
        <v>9000</v>
      </c>
      <c r="J28" s="6">
        <v>9000</v>
      </c>
      <c r="K28" t="str" cm="1">
        <f t="array" ref="K28">_xlfn.IFS(J28&lt;30000,"Low Value",J28&lt;=100000,"Medium Value",J28&gt;100000,"High Value")</f>
        <v>Low Value</v>
      </c>
      <c r="L28" s="4" t="s">
        <v>33</v>
      </c>
      <c r="M28" s="4" t="s">
        <v>24</v>
      </c>
      <c r="N28" s="4" t="str">
        <f t="shared" si="0"/>
        <v>December</v>
      </c>
      <c r="O28" s="4" t="str">
        <f t="shared" si="1"/>
        <v>Q4</v>
      </c>
      <c r="P28" s="4">
        <f t="shared" si="2"/>
        <v>2025</v>
      </c>
    </row>
    <row r="29" spans="1:16" x14ac:dyDescent="0.25">
      <c r="A29" s="4">
        <v>28</v>
      </c>
      <c r="B29" s="5">
        <v>45710</v>
      </c>
      <c r="C29" s="4" t="s">
        <v>12</v>
      </c>
      <c r="D29" s="4" t="s">
        <v>30</v>
      </c>
      <c r="E29" s="4" t="s">
        <v>75</v>
      </c>
      <c r="F29" s="4" t="s">
        <v>15</v>
      </c>
      <c r="G29" s="4" t="s">
        <v>16</v>
      </c>
      <c r="H29" s="4">
        <v>8</v>
      </c>
      <c r="I29" s="6">
        <v>55000</v>
      </c>
      <c r="J29" s="6">
        <v>440000</v>
      </c>
      <c r="K29" t="str" cm="1">
        <f t="array" ref="K29">_xlfn.IFS(J29&lt;30000,"Low Value",J29&lt;=100000,"Medium Value",J29&gt;100000,"High Value")</f>
        <v>High Value</v>
      </c>
      <c r="L29" s="4" t="s">
        <v>43</v>
      </c>
      <c r="M29" s="4" t="s">
        <v>24</v>
      </c>
      <c r="N29" s="4" t="str">
        <f t="shared" si="0"/>
        <v>February</v>
      </c>
      <c r="O29" s="4" t="str">
        <f t="shared" si="1"/>
        <v>Q1</v>
      </c>
      <c r="P29" s="4">
        <f t="shared" si="2"/>
        <v>2025</v>
      </c>
    </row>
    <row r="30" spans="1:16" x14ac:dyDescent="0.25">
      <c r="A30" s="4">
        <v>29</v>
      </c>
      <c r="B30" s="5">
        <v>45836</v>
      </c>
      <c r="C30" s="4" t="s">
        <v>34</v>
      </c>
      <c r="D30" s="4" t="s">
        <v>59</v>
      </c>
      <c r="E30" s="4" t="s">
        <v>76</v>
      </c>
      <c r="F30" s="4" t="s">
        <v>40</v>
      </c>
      <c r="G30" s="4" t="s">
        <v>16</v>
      </c>
      <c r="H30" s="4">
        <v>3</v>
      </c>
      <c r="I30" s="6">
        <v>500</v>
      </c>
      <c r="J30" s="6">
        <v>1500</v>
      </c>
      <c r="K30" t="str" cm="1">
        <f t="array" ref="K30">_xlfn.IFS(J30&lt;30000,"Low Value",J30&lt;=100000,"Medium Value",J30&gt;100000,"High Value")</f>
        <v>Low Value</v>
      </c>
      <c r="L30" s="4" t="s">
        <v>17</v>
      </c>
      <c r="M30" s="4" t="s">
        <v>24</v>
      </c>
      <c r="N30" s="4" t="str">
        <f t="shared" si="0"/>
        <v>June</v>
      </c>
      <c r="O30" s="4" t="str">
        <f t="shared" si="1"/>
        <v>Q2</v>
      </c>
      <c r="P30" s="4">
        <f t="shared" si="2"/>
        <v>2025</v>
      </c>
    </row>
    <row r="31" spans="1:16" x14ac:dyDescent="0.25">
      <c r="A31" s="4">
        <v>30</v>
      </c>
      <c r="B31" s="5">
        <v>45770</v>
      </c>
      <c r="C31" s="4" t="s">
        <v>25</v>
      </c>
      <c r="D31" s="4" t="s">
        <v>20</v>
      </c>
      <c r="E31" s="4" t="s">
        <v>77</v>
      </c>
      <c r="F31" s="4" t="s">
        <v>28</v>
      </c>
      <c r="G31" s="4" t="s">
        <v>29</v>
      </c>
      <c r="H31" s="4">
        <v>6</v>
      </c>
      <c r="I31" s="6">
        <v>3500</v>
      </c>
      <c r="J31" s="6">
        <v>21000</v>
      </c>
      <c r="K31" t="str" cm="1">
        <f t="array" ref="K31">_xlfn.IFS(J31&lt;30000,"Low Value",J31&lt;=100000,"Medium Value",J31&gt;100000,"High Value")</f>
        <v>Low Value</v>
      </c>
      <c r="L31" s="4" t="s">
        <v>17</v>
      </c>
      <c r="M31" s="4" t="s">
        <v>24</v>
      </c>
      <c r="N31" s="4" t="str">
        <f t="shared" si="0"/>
        <v>April</v>
      </c>
      <c r="O31" s="4" t="str">
        <f t="shared" si="1"/>
        <v>Q2</v>
      </c>
      <c r="P31" s="4">
        <f t="shared" si="2"/>
        <v>2025</v>
      </c>
    </row>
    <row r="32" spans="1:16" x14ac:dyDescent="0.25">
      <c r="A32" s="4">
        <v>31</v>
      </c>
      <c r="B32" s="5">
        <v>46015</v>
      </c>
      <c r="C32" s="4" t="s">
        <v>12</v>
      </c>
      <c r="D32" s="4" t="s">
        <v>44</v>
      </c>
      <c r="E32" s="4" t="s">
        <v>78</v>
      </c>
      <c r="F32" s="4" t="s">
        <v>28</v>
      </c>
      <c r="G32" s="4" t="s">
        <v>29</v>
      </c>
      <c r="H32" s="4">
        <v>1</v>
      </c>
      <c r="I32" s="6">
        <v>3500</v>
      </c>
      <c r="J32" s="6">
        <v>3500</v>
      </c>
      <c r="K32" t="str" cm="1">
        <f t="array" ref="K32">_xlfn.IFS(J32&lt;30000,"Low Value",J32&lt;=100000,"Medium Value",J32&gt;100000,"High Value")</f>
        <v>Low Value</v>
      </c>
      <c r="L32" s="4" t="s">
        <v>33</v>
      </c>
      <c r="M32" s="4" t="s">
        <v>24</v>
      </c>
      <c r="N32" s="4" t="str">
        <f t="shared" si="0"/>
        <v>December</v>
      </c>
      <c r="O32" s="4" t="str">
        <f t="shared" si="1"/>
        <v>Q4</v>
      </c>
      <c r="P32" s="4">
        <f t="shared" si="2"/>
        <v>2025</v>
      </c>
    </row>
    <row r="33" spans="1:16" x14ac:dyDescent="0.25">
      <c r="A33" s="4">
        <v>32</v>
      </c>
      <c r="B33" s="5">
        <v>45983</v>
      </c>
      <c r="C33" s="4" t="s">
        <v>25</v>
      </c>
      <c r="D33" s="4" t="s">
        <v>73</v>
      </c>
      <c r="E33" s="4" t="s">
        <v>79</v>
      </c>
      <c r="F33" s="4" t="s">
        <v>40</v>
      </c>
      <c r="G33" s="4" t="s">
        <v>16</v>
      </c>
      <c r="H33" s="4">
        <v>9</v>
      </c>
      <c r="I33" s="6">
        <v>500</v>
      </c>
      <c r="J33" s="6">
        <v>4500</v>
      </c>
      <c r="K33" t="str" cm="1">
        <f t="array" ref="K33">_xlfn.IFS(J33&lt;30000,"Low Value",J33&lt;=100000,"Medium Value",J33&gt;100000,"High Value")</f>
        <v>Low Value</v>
      </c>
      <c r="L33" s="4" t="s">
        <v>43</v>
      </c>
      <c r="M33" s="4" t="s">
        <v>24</v>
      </c>
      <c r="N33" s="4" t="str">
        <f t="shared" si="0"/>
        <v>November</v>
      </c>
      <c r="O33" s="4" t="str">
        <f t="shared" si="1"/>
        <v>Q4</v>
      </c>
      <c r="P33" s="4">
        <f t="shared" si="2"/>
        <v>2025</v>
      </c>
    </row>
    <row r="34" spans="1:16" x14ac:dyDescent="0.25">
      <c r="A34" s="4">
        <v>33</v>
      </c>
      <c r="B34" s="5">
        <v>45664</v>
      </c>
      <c r="C34" s="4" t="s">
        <v>19</v>
      </c>
      <c r="D34" s="4" t="s">
        <v>71</v>
      </c>
      <c r="E34" s="4" t="s">
        <v>80</v>
      </c>
      <c r="F34" s="4" t="s">
        <v>22</v>
      </c>
      <c r="G34" s="4" t="s">
        <v>16</v>
      </c>
      <c r="H34" s="4">
        <v>4</v>
      </c>
      <c r="I34" s="6">
        <v>1200</v>
      </c>
      <c r="J34" s="6">
        <v>4800</v>
      </c>
      <c r="K34" t="str" cm="1">
        <f t="array" ref="K34">_xlfn.IFS(J34&lt;30000,"Low Value",J34&lt;=100000,"Medium Value",J34&gt;100000,"High Value")</f>
        <v>Low Value</v>
      </c>
      <c r="L34" s="4" t="s">
        <v>33</v>
      </c>
      <c r="M34" s="4" t="s">
        <v>24</v>
      </c>
      <c r="N34" s="4" t="str">
        <f t="shared" si="0"/>
        <v>January</v>
      </c>
      <c r="O34" s="4" t="str">
        <f t="shared" si="1"/>
        <v>Q1</v>
      </c>
      <c r="P34" s="4">
        <f t="shared" si="2"/>
        <v>2025</v>
      </c>
    </row>
    <row r="35" spans="1:16" x14ac:dyDescent="0.25">
      <c r="A35" s="4">
        <v>34</v>
      </c>
      <c r="B35" s="5">
        <v>45839</v>
      </c>
      <c r="C35" s="4" t="s">
        <v>48</v>
      </c>
      <c r="D35" s="4" t="s">
        <v>73</v>
      </c>
      <c r="E35" s="4" t="s">
        <v>81</v>
      </c>
      <c r="F35" s="4" t="s">
        <v>40</v>
      </c>
      <c r="G35" s="4" t="s">
        <v>16</v>
      </c>
      <c r="H35" s="4">
        <v>8</v>
      </c>
      <c r="I35" s="6">
        <v>500</v>
      </c>
      <c r="J35" s="6">
        <v>4000</v>
      </c>
      <c r="K35" t="str" cm="1">
        <f t="array" ref="K35">_xlfn.IFS(J35&lt;30000,"Low Value",J35&lt;=100000,"Medium Value",J35&gt;100000,"High Value")</f>
        <v>Low Value</v>
      </c>
      <c r="L35" s="4" t="s">
        <v>17</v>
      </c>
      <c r="M35" s="4" t="s">
        <v>24</v>
      </c>
      <c r="N35" s="4" t="str">
        <f t="shared" si="0"/>
        <v>July</v>
      </c>
      <c r="O35" s="4" t="str">
        <f t="shared" si="1"/>
        <v>Q3</v>
      </c>
      <c r="P35" s="4">
        <f t="shared" si="2"/>
        <v>2025</v>
      </c>
    </row>
    <row r="36" spans="1:16" x14ac:dyDescent="0.25">
      <c r="A36" s="4">
        <v>35</v>
      </c>
      <c r="B36" s="5">
        <v>45709</v>
      </c>
      <c r="C36" s="4" t="s">
        <v>12</v>
      </c>
      <c r="D36" s="4" t="s">
        <v>13</v>
      </c>
      <c r="E36" s="4" t="s">
        <v>82</v>
      </c>
      <c r="F36" s="4" t="s">
        <v>47</v>
      </c>
      <c r="G36" s="4" t="s">
        <v>16</v>
      </c>
      <c r="H36" s="4">
        <v>4</v>
      </c>
      <c r="I36" s="6">
        <v>9000</v>
      </c>
      <c r="J36" s="6">
        <v>36000</v>
      </c>
      <c r="K36" t="str" cm="1">
        <f t="array" ref="K36">_xlfn.IFS(J36&lt;30000,"Low Value",J36&lt;=100000,"Medium Value",J36&gt;100000,"High Value")</f>
        <v>Medium Value</v>
      </c>
      <c r="L36" s="4" t="s">
        <v>33</v>
      </c>
      <c r="M36" s="4" t="s">
        <v>24</v>
      </c>
      <c r="N36" s="4" t="str">
        <f t="shared" si="0"/>
        <v>February</v>
      </c>
      <c r="O36" s="4" t="str">
        <f t="shared" si="1"/>
        <v>Q1</v>
      </c>
      <c r="P36" s="4">
        <f t="shared" si="2"/>
        <v>2025</v>
      </c>
    </row>
    <row r="37" spans="1:16" x14ac:dyDescent="0.25">
      <c r="A37" s="4">
        <v>36</v>
      </c>
      <c r="B37" s="5">
        <v>45765</v>
      </c>
      <c r="C37" s="4" t="s">
        <v>25</v>
      </c>
      <c r="D37" s="4" t="s">
        <v>41</v>
      </c>
      <c r="E37" s="4" t="s">
        <v>83</v>
      </c>
      <c r="F37" s="4" t="s">
        <v>47</v>
      </c>
      <c r="G37" s="4" t="s">
        <v>16</v>
      </c>
      <c r="H37" s="4">
        <v>6</v>
      </c>
      <c r="I37" s="6">
        <v>9000</v>
      </c>
      <c r="J37" s="6">
        <v>54000</v>
      </c>
      <c r="K37" t="str" cm="1">
        <f t="array" ref="K37">_xlfn.IFS(J37&lt;30000,"Low Value",J37&lt;=100000,"Medium Value",J37&gt;100000,"High Value")</f>
        <v>Medium Value</v>
      </c>
      <c r="L37" s="4" t="s">
        <v>43</v>
      </c>
      <c r="M37" s="4" t="s">
        <v>24</v>
      </c>
      <c r="N37" s="4" t="str">
        <f t="shared" si="0"/>
        <v>April</v>
      </c>
      <c r="O37" s="4" t="str">
        <f t="shared" si="1"/>
        <v>Q2</v>
      </c>
      <c r="P37" s="4">
        <f t="shared" si="2"/>
        <v>2025</v>
      </c>
    </row>
    <row r="38" spans="1:16" x14ac:dyDescent="0.25">
      <c r="A38" s="4">
        <v>37</v>
      </c>
      <c r="B38" s="5">
        <v>45969</v>
      </c>
      <c r="C38" s="4" t="s">
        <v>12</v>
      </c>
      <c r="D38" s="4" t="s">
        <v>44</v>
      </c>
      <c r="E38" s="4" t="s">
        <v>84</v>
      </c>
      <c r="F38" s="4" t="s">
        <v>32</v>
      </c>
      <c r="G38" s="4" t="s">
        <v>29</v>
      </c>
      <c r="H38" s="4">
        <v>7</v>
      </c>
      <c r="I38" s="6">
        <v>7000</v>
      </c>
      <c r="J38" s="6">
        <v>49000</v>
      </c>
      <c r="K38" t="str" cm="1">
        <f t="array" ref="K38">_xlfn.IFS(J38&lt;30000,"Low Value",J38&lt;=100000,"Medium Value",J38&gt;100000,"High Value")</f>
        <v>Medium Value</v>
      </c>
      <c r="L38" s="4" t="s">
        <v>23</v>
      </c>
      <c r="M38" s="4" t="s">
        <v>24</v>
      </c>
      <c r="N38" s="4" t="str">
        <f t="shared" si="0"/>
        <v>November</v>
      </c>
      <c r="O38" s="4" t="str">
        <f t="shared" si="1"/>
        <v>Q4</v>
      </c>
      <c r="P38" s="4">
        <f t="shared" si="2"/>
        <v>2025</v>
      </c>
    </row>
    <row r="39" spans="1:16" x14ac:dyDescent="0.25">
      <c r="A39" s="4">
        <v>38</v>
      </c>
      <c r="B39" s="5">
        <v>45732</v>
      </c>
      <c r="C39" s="4" t="s">
        <v>19</v>
      </c>
      <c r="D39" s="4" t="s">
        <v>85</v>
      </c>
      <c r="E39" s="4" t="s">
        <v>86</v>
      </c>
      <c r="F39" s="4" t="s">
        <v>28</v>
      </c>
      <c r="G39" s="4" t="s">
        <v>29</v>
      </c>
      <c r="H39" s="4">
        <v>9</v>
      </c>
      <c r="I39" s="6">
        <v>3500</v>
      </c>
      <c r="J39" s="6">
        <v>31500</v>
      </c>
      <c r="K39" t="str" cm="1">
        <f t="array" ref="K39">_xlfn.IFS(J39&lt;30000,"Low Value",J39&lt;=100000,"Medium Value",J39&gt;100000,"High Value")</f>
        <v>Medium Value</v>
      </c>
      <c r="L39" s="4" t="s">
        <v>23</v>
      </c>
      <c r="M39" s="4" t="s">
        <v>24</v>
      </c>
      <c r="N39" s="4" t="str">
        <f t="shared" si="0"/>
        <v>March</v>
      </c>
      <c r="O39" s="4" t="str">
        <f t="shared" si="1"/>
        <v>Q1</v>
      </c>
      <c r="P39" s="4">
        <f t="shared" si="2"/>
        <v>2025</v>
      </c>
    </row>
    <row r="40" spans="1:16" x14ac:dyDescent="0.25">
      <c r="A40" s="4">
        <v>39</v>
      </c>
      <c r="B40" s="5">
        <v>45700</v>
      </c>
      <c r="C40" s="4" t="s">
        <v>19</v>
      </c>
      <c r="D40" s="4" t="s">
        <v>44</v>
      </c>
      <c r="E40" s="4" t="s">
        <v>87</v>
      </c>
      <c r="F40" s="4" t="s">
        <v>32</v>
      </c>
      <c r="G40" s="4" t="s">
        <v>29</v>
      </c>
      <c r="H40" s="4">
        <v>4</v>
      </c>
      <c r="I40" s="6">
        <v>7000</v>
      </c>
      <c r="J40" s="6">
        <v>28000</v>
      </c>
      <c r="K40" t="str" cm="1">
        <f t="array" ref="K40">_xlfn.IFS(J40&lt;30000,"Low Value",J40&lt;=100000,"Medium Value",J40&gt;100000,"High Value")</f>
        <v>Low Value</v>
      </c>
      <c r="L40" s="4" t="s">
        <v>23</v>
      </c>
      <c r="M40" s="4" t="s">
        <v>24</v>
      </c>
      <c r="N40" s="4" t="str">
        <f t="shared" si="0"/>
        <v>February</v>
      </c>
      <c r="O40" s="4" t="str">
        <f t="shared" si="1"/>
        <v>Q1</v>
      </c>
      <c r="P40" s="4">
        <f t="shared" si="2"/>
        <v>2025</v>
      </c>
    </row>
    <row r="41" spans="1:16" x14ac:dyDescent="0.25">
      <c r="A41" s="4">
        <v>40</v>
      </c>
      <c r="B41" s="5">
        <v>45793</v>
      </c>
      <c r="C41" s="4" t="s">
        <v>19</v>
      </c>
      <c r="D41" s="4" t="s">
        <v>64</v>
      </c>
      <c r="E41" s="4" t="s">
        <v>88</v>
      </c>
      <c r="F41" s="4" t="s">
        <v>40</v>
      </c>
      <c r="G41" s="4" t="s">
        <v>16</v>
      </c>
      <c r="H41" s="4">
        <v>5</v>
      </c>
      <c r="I41" s="6">
        <v>500</v>
      </c>
      <c r="J41" s="6">
        <v>2500</v>
      </c>
      <c r="K41" t="str" cm="1">
        <f t="array" ref="K41">_xlfn.IFS(J41&lt;30000,"Low Value",J41&lt;=100000,"Medium Value",J41&gt;100000,"High Value")</f>
        <v>Low Value</v>
      </c>
      <c r="L41" s="4" t="s">
        <v>17</v>
      </c>
      <c r="M41" s="4" t="s">
        <v>24</v>
      </c>
      <c r="N41" s="4" t="str">
        <f t="shared" si="0"/>
        <v>May</v>
      </c>
      <c r="O41" s="4" t="str">
        <f t="shared" si="1"/>
        <v>Q2</v>
      </c>
      <c r="P41" s="4">
        <f t="shared" si="2"/>
        <v>2025</v>
      </c>
    </row>
    <row r="42" spans="1:16" x14ac:dyDescent="0.25">
      <c r="A42" s="4">
        <v>41</v>
      </c>
      <c r="B42" s="5">
        <v>45695</v>
      </c>
      <c r="C42" s="4" t="s">
        <v>19</v>
      </c>
      <c r="D42" s="4" t="s">
        <v>66</v>
      </c>
      <c r="E42" s="4" t="s">
        <v>89</v>
      </c>
      <c r="F42" s="4" t="s">
        <v>15</v>
      </c>
      <c r="G42" s="4" t="s">
        <v>16</v>
      </c>
      <c r="H42" s="4">
        <v>6</v>
      </c>
      <c r="I42" s="6">
        <v>55000</v>
      </c>
      <c r="J42" s="6">
        <v>330000</v>
      </c>
      <c r="K42" t="str" cm="1">
        <f t="array" ref="K42">_xlfn.IFS(J42&lt;30000,"Low Value",J42&lt;=100000,"Medium Value",J42&gt;100000,"High Value")</f>
        <v>High Value</v>
      </c>
      <c r="L42" s="4" t="s">
        <v>33</v>
      </c>
      <c r="M42" s="4" t="s">
        <v>24</v>
      </c>
      <c r="N42" s="4" t="str">
        <f t="shared" si="0"/>
        <v>February</v>
      </c>
      <c r="O42" s="4" t="str">
        <f t="shared" si="1"/>
        <v>Q1</v>
      </c>
      <c r="P42" s="4">
        <f t="shared" si="2"/>
        <v>2025</v>
      </c>
    </row>
    <row r="43" spans="1:16" x14ac:dyDescent="0.25">
      <c r="A43" s="4">
        <v>42</v>
      </c>
      <c r="B43" s="5">
        <v>45877</v>
      </c>
      <c r="C43" s="4" t="s">
        <v>12</v>
      </c>
      <c r="D43" s="4" t="s">
        <v>85</v>
      </c>
      <c r="E43" s="4" t="s">
        <v>90</v>
      </c>
      <c r="F43" s="4" t="s">
        <v>47</v>
      </c>
      <c r="G43" s="4" t="s">
        <v>16</v>
      </c>
      <c r="H43" s="4">
        <v>2</v>
      </c>
      <c r="I43" s="6">
        <v>9000</v>
      </c>
      <c r="J43" s="6">
        <v>18000</v>
      </c>
      <c r="K43" t="str" cm="1">
        <f t="array" ref="K43">_xlfn.IFS(J43&lt;30000,"Low Value",J43&lt;=100000,"Medium Value",J43&gt;100000,"High Value")</f>
        <v>Low Value</v>
      </c>
      <c r="L43" s="4" t="s">
        <v>17</v>
      </c>
      <c r="M43" s="4" t="s">
        <v>24</v>
      </c>
      <c r="N43" s="4" t="str">
        <f t="shared" si="0"/>
        <v>August</v>
      </c>
      <c r="O43" s="4" t="str">
        <f t="shared" si="1"/>
        <v>Q3</v>
      </c>
      <c r="P43" s="4">
        <f t="shared" si="2"/>
        <v>2025</v>
      </c>
    </row>
    <row r="44" spans="1:16" x14ac:dyDescent="0.25">
      <c r="A44" s="4">
        <v>43</v>
      </c>
      <c r="B44" s="5">
        <v>45735</v>
      </c>
      <c r="C44" s="4" t="s">
        <v>25</v>
      </c>
      <c r="D44" s="4" t="s">
        <v>52</v>
      </c>
      <c r="E44" s="4" t="s">
        <v>91</v>
      </c>
      <c r="F44" s="4" t="s">
        <v>47</v>
      </c>
      <c r="G44" s="4" t="s">
        <v>16</v>
      </c>
      <c r="H44" s="4">
        <v>9</v>
      </c>
      <c r="I44" s="6">
        <v>9000</v>
      </c>
      <c r="J44" s="6">
        <v>81000</v>
      </c>
      <c r="K44" t="str" cm="1">
        <f t="array" ref="K44">_xlfn.IFS(J44&lt;30000,"Low Value",J44&lt;=100000,"Medium Value",J44&gt;100000,"High Value")</f>
        <v>Medium Value</v>
      </c>
      <c r="L44" s="4" t="s">
        <v>33</v>
      </c>
      <c r="M44" s="4" t="s">
        <v>24</v>
      </c>
      <c r="N44" s="4" t="str">
        <f t="shared" si="0"/>
        <v>March</v>
      </c>
      <c r="O44" s="4" t="str">
        <f t="shared" si="1"/>
        <v>Q1</v>
      </c>
      <c r="P44" s="4">
        <f t="shared" si="2"/>
        <v>2025</v>
      </c>
    </row>
    <row r="45" spans="1:16" x14ac:dyDescent="0.25">
      <c r="A45" s="4">
        <v>44</v>
      </c>
      <c r="B45" s="5">
        <v>45967</v>
      </c>
      <c r="C45" s="4" t="s">
        <v>25</v>
      </c>
      <c r="D45" s="4" t="s">
        <v>92</v>
      </c>
      <c r="E45" s="4" t="s">
        <v>93</v>
      </c>
      <c r="F45" s="4" t="s">
        <v>47</v>
      </c>
      <c r="G45" s="4" t="s">
        <v>16</v>
      </c>
      <c r="H45" s="4">
        <v>7</v>
      </c>
      <c r="I45" s="6">
        <v>9000</v>
      </c>
      <c r="J45" s="6">
        <v>63000</v>
      </c>
      <c r="K45" t="str" cm="1">
        <f t="array" ref="K45">_xlfn.IFS(J45&lt;30000,"Low Value",J45&lt;=100000,"Medium Value",J45&gt;100000,"High Value")</f>
        <v>Medium Value</v>
      </c>
      <c r="L45" s="4" t="s">
        <v>43</v>
      </c>
      <c r="M45" s="4" t="s">
        <v>24</v>
      </c>
      <c r="N45" s="4" t="str">
        <f t="shared" si="0"/>
        <v>November</v>
      </c>
      <c r="O45" s="4" t="str">
        <f t="shared" si="1"/>
        <v>Q4</v>
      </c>
      <c r="P45" s="4">
        <f t="shared" si="2"/>
        <v>2025</v>
      </c>
    </row>
    <row r="46" spans="1:16" x14ac:dyDescent="0.25">
      <c r="A46" s="4">
        <v>45</v>
      </c>
      <c r="B46" s="5">
        <v>46007</v>
      </c>
      <c r="C46" s="4" t="s">
        <v>48</v>
      </c>
      <c r="D46" s="4" t="s">
        <v>26</v>
      </c>
      <c r="E46" s="4" t="s">
        <v>94</v>
      </c>
      <c r="F46" s="4" t="s">
        <v>15</v>
      </c>
      <c r="G46" s="4" t="s">
        <v>16</v>
      </c>
      <c r="H46" s="4">
        <v>8</v>
      </c>
      <c r="I46" s="6">
        <v>55000</v>
      </c>
      <c r="J46" s="6">
        <v>440000</v>
      </c>
      <c r="K46" t="str" cm="1">
        <f t="array" ref="K46">_xlfn.IFS(J46&lt;30000,"Low Value",J46&lt;=100000,"Medium Value",J46&gt;100000,"High Value")</f>
        <v>High Value</v>
      </c>
      <c r="L46" s="4" t="s">
        <v>43</v>
      </c>
      <c r="M46" s="4" t="s">
        <v>24</v>
      </c>
      <c r="N46" s="4" t="str">
        <f t="shared" si="0"/>
        <v>December</v>
      </c>
      <c r="O46" s="4" t="str">
        <f t="shared" si="1"/>
        <v>Q4</v>
      </c>
      <c r="P46" s="4">
        <f t="shared" si="2"/>
        <v>2025</v>
      </c>
    </row>
    <row r="47" spans="1:16" x14ac:dyDescent="0.25">
      <c r="A47" s="4">
        <v>46</v>
      </c>
      <c r="B47" s="5">
        <v>45849</v>
      </c>
      <c r="C47" s="4" t="s">
        <v>48</v>
      </c>
      <c r="D47" s="4" t="s">
        <v>73</v>
      </c>
      <c r="E47" s="4" t="s">
        <v>95</v>
      </c>
      <c r="F47" s="4" t="s">
        <v>22</v>
      </c>
      <c r="G47" s="4" t="s">
        <v>16</v>
      </c>
      <c r="H47" s="4">
        <v>2</v>
      </c>
      <c r="I47" s="6">
        <v>1200</v>
      </c>
      <c r="J47" s="6">
        <v>2400</v>
      </c>
      <c r="K47" t="str" cm="1">
        <f t="array" ref="K47">_xlfn.IFS(J47&lt;30000,"Low Value",J47&lt;=100000,"Medium Value",J47&gt;100000,"High Value")</f>
        <v>Low Value</v>
      </c>
      <c r="L47" s="4" t="s">
        <v>23</v>
      </c>
      <c r="M47" s="4" t="s">
        <v>24</v>
      </c>
      <c r="N47" s="4" t="str">
        <f t="shared" si="0"/>
        <v>July</v>
      </c>
      <c r="O47" s="4" t="str">
        <f t="shared" si="1"/>
        <v>Q3</v>
      </c>
      <c r="P47" s="4">
        <f t="shared" si="2"/>
        <v>2025</v>
      </c>
    </row>
    <row r="48" spans="1:16" x14ac:dyDescent="0.25">
      <c r="A48" s="4">
        <v>47</v>
      </c>
      <c r="B48" s="5">
        <v>45962</v>
      </c>
      <c r="C48" s="4" t="s">
        <v>12</v>
      </c>
      <c r="D48" s="4" t="s">
        <v>92</v>
      </c>
      <c r="E48" s="4" t="s">
        <v>96</v>
      </c>
      <c r="F48" s="4" t="s">
        <v>32</v>
      </c>
      <c r="G48" s="4" t="s">
        <v>29</v>
      </c>
      <c r="H48" s="4">
        <v>9</v>
      </c>
      <c r="I48" s="6">
        <v>7000</v>
      </c>
      <c r="J48" s="6">
        <v>63000</v>
      </c>
      <c r="K48" t="str" cm="1">
        <f t="array" ref="K48">_xlfn.IFS(J48&lt;30000,"Low Value",J48&lt;=100000,"Medium Value",J48&gt;100000,"High Value")</f>
        <v>Medium Value</v>
      </c>
      <c r="L48" s="4" t="s">
        <v>43</v>
      </c>
      <c r="M48" s="4" t="s">
        <v>24</v>
      </c>
      <c r="N48" s="4" t="str">
        <f t="shared" si="0"/>
        <v>November</v>
      </c>
      <c r="O48" s="4" t="str">
        <f t="shared" si="1"/>
        <v>Q4</v>
      </c>
      <c r="P48" s="4">
        <f t="shared" si="2"/>
        <v>2025</v>
      </c>
    </row>
    <row r="49" spans="1:16" x14ac:dyDescent="0.25">
      <c r="A49" s="4">
        <v>48</v>
      </c>
      <c r="B49" s="5">
        <v>45724</v>
      </c>
      <c r="C49" s="4" t="s">
        <v>34</v>
      </c>
      <c r="D49" s="4" t="s">
        <v>97</v>
      </c>
      <c r="E49" s="4" t="s">
        <v>98</v>
      </c>
      <c r="F49" s="4" t="s">
        <v>28</v>
      </c>
      <c r="G49" s="4" t="s">
        <v>29</v>
      </c>
      <c r="H49" s="4">
        <v>4</v>
      </c>
      <c r="I49" s="6">
        <v>3500</v>
      </c>
      <c r="J49" s="6">
        <v>14000</v>
      </c>
      <c r="K49" t="str" cm="1">
        <f t="array" ref="K49">_xlfn.IFS(J49&lt;30000,"Low Value",J49&lt;=100000,"Medium Value",J49&gt;100000,"High Value")</f>
        <v>Low Value</v>
      </c>
      <c r="L49" s="4" t="s">
        <v>23</v>
      </c>
      <c r="M49" s="4" t="s">
        <v>24</v>
      </c>
      <c r="N49" s="4" t="str">
        <f t="shared" si="0"/>
        <v>March</v>
      </c>
      <c r="O49" s="4" t="str">
        <f t="shared" si="1"/>
        <v>Q1</v>
      </c>
      <c r="P49" s="4">
        <f t="shared" si="2"/>
        <v>2025</v>
      </c>
    </row>
    <row r="50" spans="1:16" x14ac:dyDescent="0.25">
      <c r="A50" s="4">
        <v>49</v>
      </c>
      <c r="B50" s="5">
        <v>45730</v>
      </c>
      <c r="C50" s="4" t="s">
        <v>19</v>
      </c>
      <c r="D50" s="4" t="s">
        <v>73</v>
      </c>
      <c r="E50" s="4" t="s">
        <v>99</v>
      </c>
      <c r="F50" s="4" t="s">
        <v>22</v>
      </c>
      <c r="G50" s="4" t="s">
        <v>16</v>
      </c>
      <c r="H50" s="4">
        <v>6</v>
      </c>
      <c r="I50" s="6">
        <v>1200</v>
      </c>
      <c r="J50" s="6">
        <v>7200</v>
      </c>
      <c r="K50" t="str" cm="1">
        <f t="array" ref="K50">_xlfn.IFS(J50&lt;30000,"Low Value",J50&lt;=100000,"Medium Value",J50&gt;100000,"High Value")</f>
        <v>Low Value</v>
      </c>
      <c r="L50" s="4" t="s">
        <v>43</v>
      </c>
      <c r="M50" s="4" t="s">
        <v>54</v>
      </c>
      <c r="N50" s="4" t="str">
        <f t="shared" si="0"/>
        <v>March</v>
      </c>
      <c r="O50" s="4" t="str">
        <f t="shared" si="1"/>
        <v>Q1</v>
      </c>
      <c r="P50" s="4">
        <f t="shared" si="2"/>
        <v>2025</v>
      </c>
    </row>
    <row r="51" spans="1:16" x14ac:dyDescent="0.25">
      <c r="A51" s="4">
        <v>50</v>
      </c>
      <c r="B51" s="5">
        <v>46018</v>
      </c>
      <c r="C51" s="4" t="s">
        <v>48</v>
      </c>
      <c r="D51" s="4" t="s">
        <v>36</v>
      </c>
      <c r="E51" s="4" t="s">
        <v>100</v>
      </c>
      <c r="F51" s="4" t="s">
        <v>47</v>
      </c>
      <c r="G51" s="4" t="s">
        <v>16</v>
      </c>
      <c r="H51" s="4">
        <v>6</v>
      </c>
      <c r="I51" s="6">
        <v>9000</v>
      </c>
      <c r="J51" s="6">
        <v>54000</v>
      </c>
      <c r="K51" t="str" cm="1">
        <f t="array" ref="K51">_xlfn.IFS(J51&lt;30000,"Low Value",J51&lt;=100000,"Medium Value",J51&gt;100000,"High Value")</f>
        <v>Medium Value</v>
      </c>
      <c r="L51" s="4" t="s">
        <v>33</v>
      </c>
      <c r="M51" s="4" t="s">
        <v>24</v>
      </c>
      <c r="N51" s="4" t="str">
        <f t="shared" si="0"/>
        <v>December</v>
      </c>
      <c r="O51" s="4" t="str">
        <f t="shared" si="1"/>
        <v>Q4</v>
      </c>
      <c r="P51" s="4">
        <f t="shared" si="2"/>
        <v>2025</v>
      </c>
    </row>
    <row r="52" spans="1:16" x14ac:dyDescent="0.25">
      <c r="A52" s="4">
        <v>51</v>
      </c>
      <c r="B52" s="5">
        <v>45986</v>
      </c>
      <c r="C52" s="4" t="s">
        <v>19</v>
      </c>
      <c r="D52" s="4" t="s">
        <v>71</v>
      </c>
      <c r="E52" s="4" t="s">
        <v>101</v>
      </c>
      <c r="F52" s="4" t="s">
        <v>22</v>
      </c>
      <c r="G52" s="4" t="s">
        <v>16</v>
      </c>
      <c r="H52" s="4">
        <v>7</v>
      </c>
      <c r="I52" s="6">
        <v>1200</v>
      </c>
      <c r="J52" s="6">
        <v>8400</v>
      </c>
      <c r="K52" t="str" cm="1">
        <f t="array" ref="K52">_xlfn.IFS(J52&lt;30000,"Low Value",J52&lt;=100000,"Medium Value",J52&gt;100000,"High Value")</f>
        <v>Low Value</v>
      </c>
      <c r="L52" s="4" t="s">
        <v>43</v>
      </c>
      <c r="M52" s="4" t="s">
        <v>24</v>
      </c>
      <c r="N52" s="4" t="str">
        <f t="shared" si="0"/>
        <v>November</v>
      </c>
      <c r="O52" s="4" t="str">
        <f t="shared" si="1"/>
        <v>Q4</v>
      </c>
      <c r="P52" s="4">
        <f t="shared" si="2"/>
        <v>2025</v>
      </c>
    </row>
    <row r="53" spans="1:16" x14ac:dyDescent="0.25">
      <c r="A53" s="4">
        <v>52</v>
      </c>
      <c r="B53" s="5">
        <v>45818</v>
      </c>
      <c r="C53" s="4" t="s">
        <v>25</v>
      </c>
      <c r="D53" s="4" t="s">
        <v>13</v>
      </c>
      <c r="E53" s="4" t="s">
        <v>102</v>
      </c>
      <c r="F53" s="4" t="s">
        <v>40</v>
      </c>
      <c r="G53" s="4" t="s">
        <v>16</v>
      </c>
      <c r="H53" s="4">
        <v>9</v>
      </c>
      <c r="I53" s="6">
        <v>500</v>
      </c>
      <c r="J53" s="6">
        <v>4500</v>
      </c>
      <c r="K53" t="str" cm="1">
        <f t="array" ref="K53">_xlfn.IFS(J53&lt;30000,"Low Value",J53&lt;=100000,"Medium Value",J53&gt;100000,"High Value")</f>
        <v>Low Value</v>
      </c>
      <c r="L53" s="4" t="s">
        <v>43</v>
      </c>
      <c r="M53" s="4" t="s">
        <v>24</v>
      </c>
      <c r="N53" s="4" t="str">
        <f t="shared" si="0"/>
        <v>June</v>
      </c>
      <c r="O53" s="4" t="str">
        <f t="shared" si="1"/>
        <v>Q2</v>
      </c>
      <c r="P53" s="4">
        <f t="shared" si="2"/>
        <v>2025</v>
      </c>
    </row>
    <row r="54" spans="1:16" x14ac:dyDescent="0.25">
      <c r="A54" s="4">
        <v>53</v>
      </c>
      <c r="B54" s="5">
        <v>45830</v>
      </c>
      <c r="C54" s="4" t="s">
        <v>12</v>
      </c>
      <c r="D54" s="4" t="s">
        <v>55</v>
      </c>
      <c r="E54" s="4" t="s">
        <v>103</v>
      </c>
      <c r="F54" s="4" t="s">
        <v>22</v>
      </c>
      <c r="G54" s="4" t="s">
        <v>16</v>
      </c>
      <c r="H54" s="4">
        <v>9</v>
      </c>
      <c r="I54" s="6">
        <v>1200</v>
      </c>
      <c r="J54" s="6">
        <v>10800</v>
      </c>
      <c r="K54" t="str" cm="1">
        <f t="array" ref="K54">_xlfn.IFS(J54&lt;30000,"Low Value",J54&lt;=100000,"Medium Value",J54&gt;100000,"High Value")</f>
        <v>Low Value</v>
      </c>
      <c r="L54" s="4" t="s">
        <v>17</v>
      </c>
      <c r="M54" s="4" t="s">
        <v>24</v>
      </c>
      <c r="N54" s="4" t="str">
        <f t="shared" si="0"/>
        <v>June</v>
      </c>
      <c r="O54" s="4" t="str">
        <f t="shared" si="1"/>
        <v>Q2</v>
      </c>
      <c r="P54" s="4">
        <f t="shared" si="2"/>
        <v>2025</v>
      </c>
    </row>
    <row r="55" spans="1:16" x14ac:dyDescent="0.25">
      <c r="A55" s="4">
        <v>54</v>
      </c>
      <c r="B55" s="5">
        <v>45708</v>
      </c>
      <c r="C55" s="4" t="s">
        <v>25</v>
      </c>
      <c r="D55" s="4" t="s">
        <v>52</v>
      </c>
      <c r="E55" s="4" t="s">
        <v>104</v>
      </c>
      <c r="F55" s="4" t="s">
        <v>47</v>
      </c>
      <c r="G55" s="4" t="s">
        <v>16</v>
      </c>
      <c r="H55" s="4">
        <v>7</v>
      </c>
      <c r="I55" s="6">
        <v>9000</v>
      </c>
      <c r="J55" s="6">
        <v>63000</v>
      </c>
      <c r="K55" t="str" cm="1">
        <f t="array" ref="K55">_xlfn.IFS(J55&lt;30000,"Low Value",J55&lt;=100000,"Medium Value",J55&gt;100000,"High Value")</f>
        <v>Medium Value</v>
      </c>
      <c r="L55" s="4" t="s">
        <v>43</v>
      </c>
      <c r="M55" s="4" t="s">
        <v>24</v>
      </c>
      <c r="N55" s="4" t="str">
        <f t="shared" si="0"/>
        <v>February</v>
      </c>
      <c r="O55" s="4" t="str">
        <f t="shared" si="1"/>
        <v>Q1</v>
      </c>
      <c r="P55" s="4">
        <f t="shared" si="2"/>
        <v>2025</v>
      </c>
    </row>
    <row r="56" spans="1:16" x14ac:dyDescent="0.25">
      <c r="A56" s="4">
        <v>55</v>
      </c>
      <c r="B56" s="5">
        <v>45718</v>
      </c>
      <c r="C56" s="4" t="s">
        <v>48</v>
      </c>
      <c r="D56" s="4" t="s">
        <v>30</v>
      </c>
      <c r="E56" s="4" t="s">
        <v>105</v>
      </c>
      <c r="F56" s="4" t="s">
        <v>28</v>
      </c>
      <c r="G56" s="4" t="s">
        <v>29</v>
      </c>
      <c r="H56" s="4">
        <v>10</v>
      </c>
      <c r="I56" s="6">
        <v>3500</v>
      </c>
      <c r="J56" s="6">
        <v>35000</v>
      </c>
      <c r="K56" t="str" cm="1">
        <f t="array" ref="K56">_xlfn.IFS(J56&lt;30000,"Low Value",J56&lt;=100000,"Medium Value",J56&gt;100000,"High Value")</f>
        <v>Medium Value</v>
      </c>
      <c r="L56" s="4" t="s">
        <v>33</v>
      </c>
      <c r="M56" s="4" t="s">
        <v>24</v>
      </c>
      <c r="N56" s="4" t="str">
        <f t="shared" si="0"/>
        <v>March</v>
      </c>
      <c r="O56" s="4" t="str">
        <f t="shared" si="1"/>
        <v>Q1</v>
      </c>
      <c r="P56" s="4">
        <f t="shared" si="2"/>
        <v>2025</v>
      </c>
    </row>
    <row r="57" spans="1:16" x14ac:dyDescent="0.25">
      <c r="A57" s="4">
        <v>56</v>
      </c>
      <c r="B57" s="5">
        <v>45918</v>
      </c>
      <c r="C57" s="4" t="s">
        <v>48</v>
      </c>
      <c r="D57" s="4" t="s">
        <v>49</v>
      </c>
      <c r="E57" s="4" t="s">
        <v>106</v>
      </c>
      <c r="F57" s="4" t="s">
        <v>32</v>
      </c>
      <c r="G57" s="4" t="s">
        <v>29</v>
      </c>
      <c r="H57" s="4">
        <v>7</v>
      </c>
      <c r="I57" s="6">
        <v>7000</v>
      </c>
      <c r="J57" s="6">
        <v>49000</v>
      </c>
      <c r="K57" t="str" cm="1">
        <f t="array" ref="K57">_xlfn.IFS(J57&lt;30000,"Low Value",J57&lt;=100000,"Medium Value",J57&gt;100000,"High Value")</f>
        <v>Medium Value</v>
      </c>
      <c r="L57" s="4" t="s">
        <v>23</v>
      </c>
      <c r="M57" s="4" t="s">
        <v>24</v>
      </c>
      <c r="N57" s="4" t="str">
        <f t="shared" si="0"/>
        <v>September</v>
      </c>
      <c r="O57" s="4" t="str">
        <f t="shared" si="1"/>
        <v>Q3</v>
      </c>
      <c r="P57" s="4">
        <f t="shared" si="2"/>
        <v>2025</v>
      </c>
    </row>
    <row r="58" spans="1:16" x14ac:dyDescent="0.25">
      <c r="A58" s="4">
        <v>57</v>
      </c>
      <c r="B58" s="5">
        <v>45878</v>
      </c>
      <c r="C58" s="4" t="s">
        <v>19</v>
      </c>
      <c r="D58" s="4" t="s">
        <v>13</v>
      </c>
      <c r="E58" s="4" t="s">
        <v>107</v>
      </c>
      <c r="F58" s="4" t="s">
        <v>22</v>
      </c>
      <c r="G58" s="4" t="s">
        <v>16</v>
      </c>
      <c r="H58" s="4">
        <v>4</v>
      </c>
      <c r="I58" s="6">
        <v>1200</v>
      </c>
      <c r="J58" s="6">
        <v>4800</v>
      </c>
      <c r="K58" t="str" cm="1">
        <f t="array" ref="K58">_xlfn.IFS(J58&lt;30000,"Low Value",J58&lt;=100000,"Medium Value",J58&gt;100000,"High Value")</f>
        <v>Low Value</v>
      </c>
      <c r="L58" s="4" t="s">
        <v>17</v>
      </c>
      <c r="M58" s="4" t="s">
        <v>24</v>
      </c>
      <c r="N58" s="4" t="str">
        <f t="shared" si="0"/>
        <v>August</v>
      </c>
      <c r="O58" s="4" t="str">
        <f t="shared" si="1"/>
        <v>Q3</v>
      </c>
      <c r="P58" s="4">
        <f t="shared" si="2"/>
        <v>2025</v>
      </c>
    </row>
    <row r="59" spans="1:16" x14ac:dyDescent="0.25">
      <c r="A59" s="4">
        <v>58</v>
      </c>
      <c r="B59" s="5">
        <v>45929</v>
      </c>
      <c r="C59" s="4" t="s">
        <v>19</v>
      </c>
      <c r="D59" s="4" t="s">
        <v>41</v>
      </c>
      <c r="E59" s="4" t="s">
        <v>108</v>
      </c>
      <c r="F59" s="4" t="s">
        <v>15</v>
      </c>
      <c r="G59" s="4" t="s">
        <v>16</v>
      </c>
      <c r="H59" s="4">
        <v>4</v>
      </c>
      <c r="I59" s="6">
        <v>55000</v>
      </c>
      <c r="J59" s="6">
        <v>220000</v>
      </c>
      <c r="K59" t="str" cm="1">
        <f t="array" ref="K59">_xlfn.IFS(J59&lt;30000,"Low Value",J59&lt;=100000,"Medium Value",J59&gt;100000,"High Value")</f>
        <v>High Value</v>
      </c>
      <c r="L59" s="4" t="s">
        <v>17</v>
      </c>
      <c r="M59" s="4" t="s">
        <v>24</v>
      </c>
      <c r="N59" s="4" t="str">
        <f t="shared" si="0"/>
        <v>September</v>
      </c>
      <c r="O59" s="4" t="str">
        <f t="shared" si="1"/>
        <v>Q3</v>
      </c>
      <c r="P59" s="4">
        <f t="shared" si="2"/>
        <v>2025</v>
      </c>
    </row>
    <row r="60" spans="1:16" x14ac:dyDescent="0.25">
      <c r="A60" s="4">
        <v>59</v>
      </c>
      <c r="B60" s="5">
        <v>45669</v>
      </c>
      <c r="C60" s="4" t="s">
        <v>12</v>
      </c>
      <c r="D60" s="4" t="s">
        <v>26</v>
      </c>
      <c r="E60" s="4" t="s">
        <v>109</v>
      </c>
      <c r="F60" s="4" t="s">
        <v>28</v>
      </c>
      <c r="G60" s="4" t="s">
        <v>29</v>
      </c>
      <c r="H60" s="4">
        <v>3</v>
      </c>
      <c r="I60" s="6">
        <v>3500</v>
      </c>
      <c r="J60" s="6">
        <v>10500</v>
      </c>
      <c r="K60" t="str" cm="1">
        <f t="array" ref="K60">_xlfn.IFS(J60&lt;30000,"Low Value",J60&lt;=100000,"Medium Value",J60&gt;100000,"High Value")</f>
        <v>Low Value</v>
      </c>
      <c r="L60" s="4" t="s">
        <v>23</v>
      </c>
      <c r="M60" s="4" t="s">
        <v>24</v>
      </c>
      <c r="N60" s="4" t="str">
        <f t="shared" si="0"/>
        <v>January</v>
      </c>
      <c r="O60" s="4" t="str">
        <f t="shared" si="1"/>
        <v>Q1</v>
      </c>
      <c r="P60" s="4">
        <f t="shared" si="2"/>
        <v>2025</v>
      </c>
    </row>
    <row r="61" spans="1:16" x14ac:dyDescent="0.25">
      <c r="A61" s="4">
        <v>60</v>
      </c>
      <c r="B61" s="5">
        <v>45980</v>
      </c>
      <c r="C61" s="4" t="s">
        <v>19</v>
      </c>
      <c r="D61" s="4" t="s">
        <v>71</v>
      </c>
      <c r="E61" s="4" t="s">
        <v>110</v>
      </c>
      <c r="F61" s="4" t="s">
        <v>28</v>
      </c>
      <c r="G61" s="4" t="s">
        <v>29</v>
      </c>
      <c r="H61" s="4">
        <v>8</v>
      </c>
      <c r="I61" s="6">
        <v>3500</v>
      </c>
      <c r="J61" s="6">
        <v>28000</v>
      </c>
      <c r="K61" t="str" cm="1">
        <f t="array" ref="K61">_xlfn.IFS(J61&lt;30000,"Low Value",J61&lt;=100000,"Medium Value",J61&gt;100000,"High Value")</f>
        <v>Low Value</v>
      </c>
      <c r="L61" s="4" t="s">
        <v>17</v>
      </c>
      <c r="M61" s="4" t="s">
        <v>24</v>
      </c>
      <c r="N61" s="4" t="str">
        <f t="shared" si="0"/>
        <v>November</v>
      </c>
      <c r="O61" s="4" t="str">
        <f t="shared" si="1"/>
        <v>Q4</v>
      </c>
      <c r="P61" s="4">
        <f t="shared" si="2"/>
        <v>2025</v>
      </c>
    </row>
    <row r="62" spans="1:16" x14ac:dyDescent="0.25">
      <c r="A62" s="4">
        <v>61</v>
      </c>
      <c r="B62" s="5">
        <v>45739</v>
      </c>
      <c r="C62" s="4" t="s">
        <v>34</v>
      </c>
      <c r="D62" s="4" t="s">
        <v>36</v>
      </c>
      <c r="E62" s="4" t="s">
        <v>111</v>
      </c>
      <c r="F62" s="4" t="s">
        <v>22</v>
      </c>
      <c r="G62" s="4" t="s">
        <v>16</v>
      </c>
      <c r="H62" s="4">
        <v>3</v>
      </c>
      <c r="I62" s="6">
        <v>1200</v>
      </c>
      <c r="J62" s="6">
        <v>3600</v>
      </c>
      <c r="K62" t="str" cm="1">
        <f t="array" ref="K62">_xlfn.IFS(J62&lt;30000,"Low Value",J62&lt;=100000,"Medium Value",J62&gt;100000,"High Value")</f>
        <v>Low Value</v>
      </c>
      <c r="L62" s="4" t="s">
        <v>17</v>
      </c>
      <c r="M62" s="4" t="s">
        <v>24</v>
      </c>
      <c r="N62" s="4" t="str">
        <f t="shared" si="0"/>
        <v>March</v>
      </c>
      <c r="O62" s="4" t="str">
        <f t="shared" si="1"/>
        <v>Q1</v>
      </c>
      <c r="P62" s="4">
        <f t="shared" si="2"/>
        <v>2025</v>
      </c>
    </row>
    <row r="63" spans="1:16" x14ac:dyDescent="0.25">
      <c r="A63" s="4">
        <v>62</v>
      </c>
      <c r="B63" s="5">
        <v>45686</v>
      </c>
      <c r="C63" s="4" t="s">
        <v>25</v>
      </c>
      <c r="D63" s="4" t="s">
        <v>66</v>
      </c>
      <c r="E63" s="4" t="s">
        <v>112</v>
      </c>
      <c r="F63" s="4" t="s">
        <v>22</v>
      </c>
      <c r="G63" s="4" t="s">
        <v>16</v>
      </c>
      <c r="H63" s="4">
        <v>5</v>
      </c>
      <c r="I63" s="6">
        <v>1200</v>
      </c>
      <c r="J63" s="6">
        <v>6000</v>
      </c>
      <c r="K63" t="str" cm="1">
        <f t="array" ref="K63">_xlfn.IFS(J63&lt;30000,"Low Value",J63&lt;=100000,"Medium Value",J63&gt;100000,"High Value")</f>
        <v>Low Value</v>
      </c>
      <c r="L63" s="4" t="s">
        <v>23</v>
      </c>
      <c r="M63" s="4" t="s">
        <v>24</v>
      </c>
      <c r="N63" s="4" t="str">
        <f t="shared" si="0"/>
        <v>January</v>
      </c>
      <c r="O63" s="4" t="str">
        <f t="shared" si="1"/>
        <v>Q1</v>
      </c>
      <c r="P63" s="4">
        <f t="shared" si="2"/>
        <v>2025</v>
      </c>
    </row>
    <row r="64" spans="1:16" x14ac:dyDescent="0.25">
      <c r="A64" s="4">
        <v>63</v>
      </c>
      <c r="B64" s="5">
        <v>45769</v>
      </c>
      <c r="C64" s="4" t="s">
        <v>48</v>
      </c>
      <c r="D64" s="4" t="s">
        <v>38</v>
      </c>
      <c r="E64" s="4" t="s">
        <v>113</v>
      </c>
      <c r="F64" s="4" t="s">
        <v>47</v>
      </c>
      <c r="G64" s="4" t="s">
        <v>16</v>
      </c>
      <c r="H64" s="4">
        <v>6</v>
      </c>
      <c r="I64" s="6">
        <v>9000</v>
      </c>
      <c r="J64" s="6">
        <v>54000</v>
      </c>
      <c r="K64" t="str" cm="1">
        <f t="array" ref="K64">_xlfn.IFS(J64&lt;30000,"Low Value",J64&lt;=100000,"Medium Value",J64&gt;100000,"High Value")</f>
        <v>Medium Value</v>
      </c>
      <c r="L64" s="4" t="s">
        <v>43</v>
      </c>
      <c r="M64" s="4" t="s">
        <v>24</v>
      </c>
      <c r="N64" s="4" t="str">
        <f t="shared" si="0"/>
        <v>April</v>
      </c>
      <c r="O64" s="4" t="str">
        <f t="shared" si="1"/>
        <v>Q2</v>
      </c>
      <c r="P64" s="4">
        <f t="shared" si="2"/>
        <v>2025</v>
      </c>
    </row>
    <row r="65" spans="1:16" x14ac:dyDescent="0.25">
      <c r="A65" s="4">
        <v>64</v>
      </c>
      <c r="B65" s="5">
        <v>45853</v>
      </c>
      <c r="C65" s="4" t="s">
        <v>19</v>
      </c>
      <c r="D65" s="4" t="s">
        <v>13</v>
      </c>
      <c r="E65" s="4" t="s">
        <v>114</v>
      </c>
      <c r="F65" s="4" t="s">
        <v>28</v>
      </c>
      <c r="G65" s="4" t="s">
        <v>29</v>
      </c>
      <c r="H65" s="4">
        <v>8</v>
      </c>
      <c r="I65" s="6">
        <v>3500</v>
      </c>
      <c r="J65" s="6">
        <v>28000</v>
      </c>
      <c r="K65" t="str" cm="1">
        <f t="array" ref="K65">_xlfn.IFS(J65&lt;30000,"Low Value",J65&lt;=100000,"Medium Value",J65&gt;100000,"High Value")</f>
        <v>Low Value</v>
      </c>
      <c r="L65" s="4" t="s">
        <v>17</v>
      </c>
      <c r="M65" s="4" t="s">
        <v>24</v>
      </c>
      <c r="N65" s="4" t="str">
        <f t="shared" si="0"/>
        <v>July</v>
      </c>
      <c r="O65" s="4" t="str">
        <f t="shared" si="1"/>
        <v>Q3</v>
      </c>
      <c r="P65" s="4">
        <f t="shared" si="2"/>
        <v>2025</v>
      </c>
    </row>
    <row r="66" spans="1:16" x14ac:dyDescent="0.25">
      <c r="A66" s="4">
        <v>65</v>
      </c>
      <c r="B66" s="5">
        <v>45952</v>
      </c>
      <c r="C66" s="4" t="s">
        <v>25</v>
      </c>
      <c r="D66" s="4" t="s">
        <v>85</v>
      </c>
      <c r="E66" s="4" t="s">
        <v>115</v>
      </c>
      <c r="F66" s="4" t="s">
        <v>22</v>
      </c>
      <c r="G66" s="4" t="s">
        <v>16</v>
      </c>
      <c r="H66" s="4">
        <v>9</v>
      </c>
      <c r="I66" s="6">
        <v>1200</v>
      </c>
      <c r="J66" s="6">
        <v>10800</v>
      </c>
      <c r="K66" t="str" cm="1">
        <f t="array" ref="K66">_xlfn.IFS(J66&lt;30000,"Low Value",J66&lt;=100000,"Medium Value",J66&gt;100000,"High Value")</f>
        <v>Low Value</v>
      </c>
      <c r="L66" s="4" t="s">
        <v>17</v>
      </c>
      <c r="M66" s="4" t="s">
        <v>24</v>
      </c>
      <c r="N66" s="4" t="str">
        <f t="shared" si="0"/>
        <v>October</v>
      </c>
      <c r="O66" s="4" t="str">
        <f t="shared" si="1"/>
        <v>Q4</v>
      </c>
      <c r="P66" s="4">
        <f t="shared" si="2"/>
        <v>2025</v>
      </c>
    </row>
    <row r="67" spans="1:16" x14ac:dyDescent="0.25">
      <c r="A67" s="4">
        <v>66</v>
      </c>
      <c r="B67" s="5">
        <v>45989</v>
      </c>
      <c r="C67" s="4" t="s">
        <v>19</v>
      </c>
      <c r="D67" s="4" t="s">
        <v>97</v>
      </c>
      <c r="E67" s="4" t="s">
        <v>116</v>
      </c>
      <c r="F67" s="4" t="s">
        <v>47</v>
      </c>
      <c r="G67" s="4" t="s">
        <v>16</v>
      </c>
      <c r="H67" s="4">
        <v>5</v>
      </c>
      <c r="I67" s="6">
        <v>9000</v>
      </c>
      <c r="J67" s="6">
        <v>45000</v>
      </c>
      <c r="K67" t="str" cm="1">
        <f t="array" ref="K67">_xlfn.IFS(J67&lt;30000,"Low Value",J67&lt;=100000,"Medium Value",J67&gt;100000,"High Value")</f>
        <v>Medium Value</v>
      </c>
      <c r="L67" s="4" t="s">
        <v>23</v>
      </c>
      <c r="M67" s="4" t="s">
        <v>24</v>
      </c>
      <c r="N67" s="4" t="str">
        <f t="shared" ref="N67:N130" si="3">TEXT(B67,"MMMM")</f>
        <v>November</v>
      </c>
      <c r="O67" s="4" t="str">
        <f t="shared" ref="O67:O130" si="4">"Q"&amp;ROUNDUP(MONTH(B67)/3,0)</f>
        <v>Q4</v>
      </c>
      <c r="P67" s="4">
        <f t="shared" ref="P67:P130" si="5">YEAR(B:B)</f>
        <v>2025</v>
      </c>
    </row>
    <row r="68" spans="1:16" x14ac:dyDescent="0.25">
      <c r="A68" s="4">
        <v>67</v>
      </c>
      <c r="B68" s="5">
        <v>45867</v>
      </c>
      <c r="C68" s="4" t="s">
        <v>48</v>
      </c>
      <c r="D68" s="4" t="s">
        <v>36</v>
      </c>
      <c r="E68" s="4" t="s">
        <v>117</v>
      </c>
      <c r="F68" s="4" t="s">
        <v>15</v>
      </c>
      <c r="G68" s="4" t="s">
        <v>16</v>
      </c>
      <c r="H68" s="4">
        <v>4</v>
      </c>
      <c r="I68" s="6">
        <v>55000</v>
      </c>
      <c r="J68" s="6">
        <v>220000</v>
      </c>
      <c r="K68" t="str" cm="1">
        <f t="array" ref="K68">_xlfn.IFS(J68&lt;30000,"Low Value",J68&lt;=100000,"Medium Value",J68&gt;100000,"High Value")</f>
        <v>High Value</v>
      </c>
      <c r="L68" s="4" t="s">
        <v>43</v>
      </c>
      <c r="M68" s="4" t="s">
        <v>24</v>
      </c>
      <c r="N68" s="4" t="str">
        <f t="shared" si="3"/>
        <v>July</v>
      </c>
      <c r="O68" s="4" t="str">
        <f t="shared" si="4"/>
        <v>Q3</v>
      </c>
      <c r="P68" s="4">
        <f t="shared" si="5"/>
        <v>2025</v>
      </c>
    </row>
    <row r="69" spans="1:16" x14ac:dyDescent="0.25">
      <c r="A69" s="4">
        <v>68</v>
      </c>
      <c r="B69" s="5">
        <v>45890</v>
      </c>
      <c r="C69" s="4" t="s">
        <v>25</v>
      </c>
      <c r="D69" s="4" t="s">
        <v>30</v>
      </c>
      <c r="E69" s="4" t="s">
        <v>118</v>
      </c>
      <c r="F69" s="4" t="s">
        <v>15</v>
      </c>
      <c r="G69" s="4" t="s">
        <v>16</v>
      </c>
      <c r="H69" s="4">
        <v>9</v>
      </c>
      <c r="I69" s="6">
        <v>55000</v>
      </c>
      <c r="J69" s="6">
        <v>495000</v>
      </c>
      <c r="K69" t="str" cm="1">
        <f t="array" ref="K69">_xlfn.IFS(J69&lt;30000,"Low Value",J69&lt;=100000,"Medium Value",J69&gt;100000,"High Value")</f>
        <v>High Value</v>
      </c>
      <c r="L69" s="4" t="s">
        <v>43</v>
      </c>
      <c r="M69" s="4" t="s">
        <v>24</v>
      </c>
      <c r="N69" s="4" t="str">
        <f t="shared" si="3"/>
        <v>August</v>
      </c>
      <c r="O69" s="4" t="str">
        <f t="shared" si="4"/>
        <v>Q3</v>
      </c>
      <c r="P69" s="4">
        <f t="shared" si="5"/>
        <v>2025</v>
      </c>
    </row>
    <row r="70" spans="1:16" x14ac:dyDescent="0.25">
      <c r="A70" s="4">
        <v>69</v>
      </c>
      <c r="B70" s="5">
        <v>45770</v>
      </c>
      <c r="C70" s="4" t="s">
        <v>48</v>
      </c>
      <c r="D70" s="4" t="s">
        <v>36</v>
      </c>
      <c r="E70" s="4" t="s">
        <v>119</v>
      </c>
      <c r="F70" s="4" t="s">
        <v>22</v>
      </c>
      <c r="G70" s="4" t="s">
        <v>16</v>
      </c>
      <c r="H70" s="4">
        <v>7</v>
      </c>
      <c r="I70" s="6">
        <v>1200</v>
      </c>
      <c r="J70" s="6">
        <v>8400</v>
      </c>
      <c r="K70" t="str" cm="1">
        <f t="array" ref="K70">_xlfn.IFS(J70&lt;30000,"Low Value",J70&lt;=100000,"Medium Value",J70&gt;100000,"High Value")</f>
        <v>Low Value</v>
      </c>
      <c r="L70" s="4" t="s">
        <v>43</v>
      </c>
      <c r="M70" s="4" t="s">
        <v>24</v>
      </c>
      <c r="N70" s="4" t="str">
        <f t="shared" si="3"/>
        <v>April</v>
      </c>
      <c r="O70" s="4" t="str">
        <f t="shared" si="4"/>
        <v>Q2</v>
      </c>
      <c r="P70" s="4">
        <f t="shared" si="5"/>
        <v>2025</v>
      </c>
    </row>
    <row r="71" spans="1:16" x14ac:dyDescent="0.25">
      <c r="A71" s="4">
        <v>70</v>
      </c>
      <c r="B71" s="5">
        <v>45700</v>
      </c>
      <c r="C71" s="4" t="s">
        <v>34</v>
      </c>
      <c r="D71" s="4" t="s">
        <v>97</v>
      </c>
      <c r="E71" s="4" t="s">
        <v>120</v>
      </c>
      <c r="F71" s="4" t="s">
        <v>40</v>
      </c>
      <c r="G71" s="4" t="s">
        <v>16</v>
      </c>
      <c r="H71" s="4">
        <v>5</v>
      </c>
      <c r="I71" s="6">
        <v>500</v>
      </c>
      <c r="J71" s="6">
        <v>2500</v>
      </c>
      <c r="K71" t="str" cm="1">
        <f t="array" ref="K71">_xlfn.IFS(J71&lt;30000,"Low Value",J71&lt;=100000,"Medium Value",J71&gt;100000,"High Value")</f>
        <v>Low Value</v>
      </c>
      <c r="L71" s="4" t="s">
        <v>33</v>
      </c>
      <c r="M71" s="4" t="s">
        <v>24</v>
      </c>
      <c r="N71" s="4" t="str">
        <f t="shared" si="3"/>
        <v>February</v>
      </c>
      <c r="O71" s="4" t="str">
        <f t="shared" si="4"/>
        <v>Q1</v>
      </c>
      <c r="P71" s="4">
        <f t="shared" si="5"/>
        <v>2025</v>
      </c>
    </row>
    <row r="72" spans="1:16" x14ac:dyDescent="0.25">
      <c r="A72" s="4">
        <v>71</v>
      </c>
      <c r="B72" s="5">
        <v>45834</v>
      </c>
      <c r="C72" s="4" t="s">
        <v>19</v>
      </c>
      <c r="D72" s="4" t="s">
        <v>121</v>
      </c>
      <c r="E72" s="4" t="s">
        <v>122</v>
      </c>
      <c r="F72" s="4" t="s">
        <v>32</v>
      </c>
      <c r="G72" s="4" t="s">
        <v>29</v>
      </c>
      <c r="H72" s="4">
        <v>5</v>
      </c>
      <c r="I72" s="6">
        <v>7000</v>
      </c>
      <c r="J72" s="6">
        <v>35000</v>
      </c>
      <c r="K72" t="str" cm="1">
        <f t="array" ref="K72">_xlfn.IFS(J72&lt;30000,"Low Value",J72&lt;=100000,"Medium Value",J72&gt;100000,"High Value")</f>
        <v>Medium Value</v>
      </c>
      <c r="L72" s="4" t="s">
        <v>43</v>
      </c>
      <c r="M72" s="4" t="s">
        <v>24</v>
      </c>
      <c r="N72" s="4" t="str">
        <f t="shared" si="3"/>
        <v>June</v>
      </c>
      <c r="O72" s="4" t="str">
        <f t="shared" si="4"/>
        <v>Q2</v>
      </c>
      <c r="P72" s="4">
        <f t="shared" si="5"/>
        <v>2025</v>
      </c>
    </row>
    <row r="73" spans="1:16" x14ac:dyDescent="0.25">
      <c r="A73" s="4">
        <v>72</v>
      </c>
      <c r="B73" s="5">
        <v>45766</v>
      </c>
      <c r="C73" s="4" t="s">
        <v>19</v>
      </c>
      <c r="D73" s="4" t="s">
        <v>41</v>
      </c>
      <c r="E73" s="4" t="s">
        <v>123</v>
      </c>
      <c r="F73" s="4" t="s">
        <v>22</v>
      </c>
      <c r="G73" s="4" t="s">
        <v>16</v>
      </c>
      <c r="H73" s="4">
        <v>7</v>
      </c>
      <c r="I73" s="6">
        <v>1200</v>
      </c>
      <c r="J73" s="6">
        <v>8400</v>
      </c>
      <c r="K73" t="str" cm="1">
        <f t="array" ref="K73">_xlfn.IFS(J73&lt;30000,"Low Value",J73&lt;=100000,"Medium Value",J73&gt;100000,"High Value")</f>
        <v>Low Value</v>
      </c>
      <c r="L73" s="4" t="s">
        <v>17</v>
      </c>
      <c r="M73" s="4" t="s">
        <v>24</v>
      </c>
      <c r="N73" s="4" t="str">
        <f t="shared" si="3"/>
        <v>April</v>
      </c>
      <c r="O73" s="4" t="str">
        <f t="shared" si="4"/>
        <v>Q2</v>
      </c>
      <c r="P73" s="4">
        <f t="shared" si="5"/>
        <v>2025</v>
      </c>
    </row>
    <row r="74" spans="1:16" x14ac:dyDescent="0.25">
      <c r="A74" s="4">
        <v>73</v>
      </c>
      <c r="B74" s="5">
        <v>45777</v>
      </c>
      <c r="C74" s="4" t="s">
        <v>12</v>
      </c>
      <c r="D74" s="4" t="s">
        <v>30</v>
      </c>
      <c r="E74" s="4" t="s">
        <v>124</v>
      </c>
      <c r="F74" s="4" t="s">
        <v>22</v>
      </c>
      <c r="G74" s="4" t="s">
        <v>16</v>
      </c>
      <c r="H74" s="4">
        <v>7</v>
      </c>
      <c r="I74" s="6">
        <v>1200</v>
      </c>
      <c r="J74" s="6">
        <v>8400</v>
      </c>
      <c r="K74" t="str" cm="1">
        <f t="array" ref="K74">_xlfn.IFS(J74&lt;30000,"Low Value",J74&lt;=100000,"Medium Value",J74&gt;100000,"High Value")</f>
        <v>Low Value</v>
      </c>
      <c r="L74" s="4" t="s">
        <v>23</v>
      </c>
      <c r="M74" s="4" t="s">
        <v>24</v>
      </c>
      <c r="N74" s="4" t="str">
        <f t="shared" si="3"/>
        <v>April</v>
      </c>
      <c r="O74" s="4" t="str">
        <f t="shared" si="4"/>
        <v>Q2</v>
      </c>
      <c r="P74" s="4">
        <f t="shared" si="5"/>
        <v>2025</v>
      </c>
    </row>
    <row r="75" spans="1:16" x14ac:dyDescent="0.25">
      <c r="A75" s="4">
        <v>74</v>
      </c>
      <c r="B75" s="5">
        <v>45948</v>
      </c>
      <c r="C75" s="4" t="s">
        <v>25</v>
      </c>
      <c r="D75" s="4" t="s">
        <v>41</v>
      </c>
      <c r="E75" s="4" t="s">
        <v>125</v>
      </c>
      <c r="F75" s="4" t="s">
        <v>32</v>
      </c>
      <c r="G75" s="4" t="s">
        <v>29</v>
      </c>
      <c r="H75" s="4">
        <v>3</v>
      </c>
      <c r="I75" s="6">
        <v>7000</v>
      </c>
      <c r="J75" s="6">
        <v>21000</v>
      </c>
      <c r="K75" t="str" cm="1">
        <f t="array" ref="K75">_xlfn.IFS(J75&lt;30000,"Low Value",J75&lt;=100000,"Medium Value",J75&gt;100000,"High Value")</f>
        <v>Low Value</v>
      </c>
      <c r="L75" s="4" t="s">
        <v>43</v>
      </c>
      <c r="M75" s="4" t="s">
        <v>24</v>
      </c>
      <c r="N75" s="4" t="str">
        <f t="shared" si="3"/>
        <v>October</v>
      </c>
      <c r="O75" s="4" t="str">
        <f t="shared" si="4"/>
        <v>Q4</v>
      </c>
      <c r="P75" s="4">
        <f t="shared" si="5"/>
        <v>2025</v>
      </c>
    </row>
    <row r="76" spans="1:16" x14ac:dyDescent="0.25">
      <c r="A76" s="4">
        <v>75</v>
      </c>
      <c r="B76" s="5">
        <v>45691</v>
      </c>
      <c r="C76" s="4" t="s">
        <v>19</v>
      </c>
      <c r="D76" s="4" t="s">
        <v>13</v>
      </c>
      <c r="E76" s="4" t="s">
        <v>126</v>
      </c>
      <c r="F76" s="4" t="s">
        <v>47</v>
      </c>
      <c r="G76" s="4" t="s">
        <v>16</v>
      </c>
      <c r="H76" s="4">
        <v>6</v>
      </c>
      <c r="I76" s="6">
        <v>9000</v>
      </c>
      <c r="J76" s="6">
        <v>54000</v>
      </c>
      <c r="K76" t="str" cm="1">
        <f t="array" ref="K76">_xlfn.IFS(J76&lt;30000,"Low Value",J76&lt;=100000,"Medium Value",J76&gt;100000,"High Value")</f>
        <v>Medium Value</v>
      </c>
      <c r="L76" s="4" t="s">
        <v>43</v>
      </c>
      <c r="M76" s="4" t="s">
        <v>24</v>
      </c>
      <c r="N76" s="4" t="str">
        <f t="shared" si="3"/>
        <v>February</v>
      </c>
      <c r="O76" s="4" t="str">
        <f t="shared" si="4"/>
        <v>Q1</v>
      </c>
      <c r="P76" s="4">
        <f t="shared" si="5"/>
        <v>2025</v>
      </c>
    </row>
    <row r="77" spans="1:16" x14ac:dyDescent="0.25">
      <c r="A77" s="4">
        <v>76</v>
      </c>
      <c r="B77" s="5">
        <v>45808</v>
      </c>
      <c r="C77" s="4" t="s">
        <v>34</v>
      </c>
      <c r="D77" s="4" t="s">
        <v>73</v>
      </c>
      <c r="E77" s="4" t="s">
        <v>127</v>
      </c>
      <c r="F77" s="4" t="s">
        <v>32</v>
      </c>
      <c r="G77" s="4" t="s">
        <v>29</v>
      </c>
      <c r="H77" s="4">
        <v>4</v>
      </c>
      <c r="I77" s="6">
        <v>7000</v>
      </c>
      <c r="J77" s="6">
        <v>28000</v>
      </c>
      <c r="K77" t="str" cm="1">
        <f t="array" ref="K77">_xlfn.IFS(J77&lt;30000,"Low Value",J77&lt;=100000,"Medium Value",J77&gt;100000,"High Value")</f>
        <v>Low Value</v>
      </c>
      <c r="L77" s="4" t="s">
        <v>17</v>
      </c>
      <c r="M77" s="4" t="s">
        <v>24</v>
      </c>
      <c r="N77" s="4" t="str">
        <f t="shared" si="3"/>
        <v>May</v>
      </c>
      <c r="O77" s="4" t="str">
        <f t="shared" si="4"/>
        <v>Q2</v>
      </c>
      <c r="P77" s="4">
        <f t="shared" si="5"/>
        <v>2025</v>
      </c>
    </row>
    <row r="78" spans="1:16" x14ac:dyDescent="0.25">
      <c r="A78" s="4">
        <v>77</v>
      </c>
      <c r="B78" s="5">
        <v>45835</v>
      </c>
      <c r="C78" s="4" t="s">
        <v>48</v>
      </c>
      <c r="D78" s="4" t="s">
        <v>73</v>
      </c>
      <c r="E78" s="4" t="s">
        <v>128</v>
      </c>
      <c r="F78" s="4" t="s">
        <v>47</v>
      </c>
      <c r="G78" s="4" t="s">
        <v>16</v>
      </c>
      <c r="H78" s="4">
        <v>5</v>
      </c>
      <c r="I78" s="6">
        <v>9000</v>
      </c>
      <c r="J78" s="6">
        <v>45000</v>
      </c>
      <c r="K78" t="str" cm="1">
        <f t="array" ref="K78">_xlfn.IFS(J78&lt;30000,"Low Value",J78&lt;=100000,"Medium Value",J78&gt;100000,"High Value")</f>
        <v>Medium Value</v>
      </c>
      <c r="L78" s="4" t="s">
        <v>43</v>
      </c>
      <c r="M78" s="4" t="s">
        <v>24</v>
      </c>
      <c r="N78" s="4" t="str">
        <f t="shared" si="3"/>
        <v>June</v>
      </c>
      <c r="O78" s="4" t="str">
        <f t="shared" si="4"/>
        <v>Q2</v>
      </c>
      <c r="P78" s="4">
        <f t="shared" si="5"/>
        <v>2025</v>
      </c>
    </row>
    <row r="79" spans="1:16" x14ac:dyDescent="0.25">
      <c r="A79" s="4">
        <v>78</v>
      </c>
      <c r="B79" s="5">
        <v>45710</v>
      </c>
      <c r="C79" s="4" t="s">
        <v>34</v>
      </c>
      <c r="D79" s="4" t="s">
        <v>41</v>
      </c>
      <c r="E79" s="4" t="s">
        <v>129</v>
      </c>
      <c r="F79" s="4" t="s">
        <v>47</v>
      </c>
      <c r="G79" s="4" t="s">
        <v>16</v>
      </c>
      <c r="H79" s="4">
        <v>9</v>
      </c>
      <c r="I79" s="6">
        <v>9000</v>
      </c>
      <c r="J79" s="6">
        <v>81000</v>
      </c>
      <c r="K79" t="str" cm="1">
        <f t="array" ref="K79">_xlfn.IFS(J79&lt;30000,"Low Value",J79&lt;=100000,"Medium Value",J79&gt;100000,"High Value")</f>
        <v>Medium Value</v>
      </c>
      <c r="L79" s="4" t="s">
        <v>43</v>
      </c>
      <c r="M79" s="4" t="s">
        <v>54</v>
      </c>
      <c r="N79" s="4" t="str">
        <f t="shared" si="3"/>
        <v>February</v>
      </c>
      <c r="O79" s="4" t="str">
        <f t="shared" si="4"/>
        <v>Q1</v>
      </c>
      <c r="P79" s="4">
        <f t="shared" si="5"/>
        <v>2025</v>
      </c>
    </row>
    <row r="80" spans="1:16" x14ac:dyDescent="0.25">
      <c r="A80" s="4">
        <v>79</v>
      </c>
      <c r="B80" s="5">
        <v>45936</v>
      </c>
      <c r="C80" s="4" t="s">
        <v>48</v>
      </c>
      <c r="D80" s="4" t="s">
        <v>92</v>
      </c>
      <c r="E80" s="4" t="s">
        <v>130</v>
      </c>
      <c r="F80" s="4" t="s">
        <v>40</v>
      </c>
      <c r="G80" s="4" t="s">
        <v>16</v>
      </c>
      <c r="H80" s="4">
        <v>6</v>
      </c>
      <c r="I80" s="6">
        <v>500</v>
      </c>
      <c r="J80" s="6">
        <v>3000</v>
      </c>
      <c r="K80" t="str" cm="1">
        <f t="array" ref="K80">_xlfn.IFS(J80&lt;30000,"Low Value",J80&lt;=100000,"Medium Value",J80&gt;100000,"High Value")</f>
        <v>Low Value</v>
      </c>
      <c r="L80" s="4" t="s">
        <v>43</v>
      </c>
      <c r="M80" s="4" t="s">
        <v>24</v>
      </c>
      <c r="N80" s="4" t="str">
        <f t="shared" si="3"/>
        <v>October</v>
      </c>
      <c r="O80" s="4" t="str">
        <f t="shared" si="4"/>
        <v>Q4</v>
      </c>
      <c r="P80" s="4">
        <f t="shared" si="5"/>
        <v>2025</v>
      </c>
    </row>
    <row r="81" spans="1:16" x14ac:dyDescent="0.25">
      <c r="A81" s="4">
        <v>80</v>
      </c>
      <c r="B81" s="5">
        <v>45799</v>
      </c>
      <c r="C81" s="4" t="s">
        <v>34</v>
      </c>
      <c r="D81" s="4" t="s">
        <v>52</v>
      </c>
      <c r="E81" s="4" t="s">
        <v>131</v>
      </c>
      <c r="F81" s="4" t="s">
        <v>15</v>
      </c>
      <c r="G81" s="4" t="s">
        <v>16</v>
      </c>
      <c r="H81" s="4">
        <v>7</v>
      </c>
      <c r="I81" s="6">
        <v>55000</v>
      </c>
      <c r="J81" s="6">
        <v>385000</v>
      </c>
      <c r="K81" t="str" cm="1">
        <f t="array" ref="K81">_xlfn.IFS(J81&lt;30000,"Low Value",J81&lt;=100000,"Medium Value",J81&gt;100000,"High Value")</f>
        <v>High Value</v>
      </c>
      <c r="L81" s="4" t="s">
        <v>17</v>
      </c>
      <c r="M81" s="4" t="s">
        <v>24</v>
      </c>
      <c r="N81" s="4" t="str">
        <f t="shared" si="3"/>
        <v>May</v>
      </c>
      <c r="O81" s="4" t="str">
        <f t="shared" si="4"/>
        <v>Q2</v>
      </c>
      <c r="P81" s="4">
        <f t="shared" si="5"/>
        <v>2025</v>
      </c>
    </row>
    <row r="82" spans="1:16" x14ac:dyDescent="0.25">
      <c r="A82" s="4">
        <v>81</v>
      </c>
      <c r="B82" s="5">
        <v>45732</v>
      </c>
      <c r="C82" s="4" t="s">
        <v>48</v>
      </c>
      <c r="D82" s="4" t="s">
        <v>73</v>
      </c>
      <c r="E82" s="4" t="s">
        <v>132</v>
      </c>
      <c r="F82" s="4" t="s">
        <v>22</v>
      </c>
      <c r="G82" s="4" t="s">
        <v>16</v>
      </c>
      <c r="H82" s="4">
        <v>10</v>
      </c>
      <c r="I82" s="6">
        <v>1200</v>
      </c>
      <c r="J82" s="6">
        <v>12000</v>
      </c>
      <c r="K82" t="str" cm="1">
        <f t="array" ref="K82">_xlfn.IFS(J82&lt;30000,"Low Value",J82&lt;=100000,"Medium Value",J82&gt;100000,"High Value")</f>
        <v>Low Value</v>
      </c>
      <c r="L82" s="4" t="s">
        <v>17</v>
      </c>
      <c r="M82" s="4" t="s">
        <v>24</v>
      </c>
      <c r="N82" s="4" t="str">
        <f t="shared" si="3"/>
        <v>March</v>
      </c>
      <c r="O82" s="4" t="str">
        <f t="shared" si="4"/>
        <v>Q1</v>
      </c>
      <c r="P82" s="4">
        <f t="shared" si="5"/>
        <v>2025</v>
      </c>
    </row>
    <row r="83" spans="1:16" x14ac:dyDescent="0.25">
      <c r="A83" s="4">
        <v>82</v>
      </c>
      <c r="B83" s="5">
        <v>45837</v>
      </c>
      <c r="C83" s="4" t="s">
        <v>12</v>
      </c>
      <c r="D83" s="4" t="s">
        <v>73</v>
      </c>
      <c r="E83" s="4" t="s">
        <v>133</v>
      </c>
      <c r="F83" s="4" t="s">
        <v>32</v>
      </c>
      <c r="G83" s="4" t="s">
        <v>29</v>
      </c>
      <c r="H83" s="4">
        <v>6</v>
      </c>
      <c r="I83" s="6">
        <v>7000</v>
      </c>
      <c r="J83" s="6">
        <v>42000</v>
      </c>
      <c r="K83" t="str" cm="1">
        <f t="array" ref="K83">_xlfn.IFS(J83&lt;30000,"Low Value",J83&lt;=100000,"Medium Value",J83&gt;100000,"High Value")</f>
        <v>Medium Value</v>
      </c>
      <c r="L83" s="4" t="s">
        <v>43</v>
      </c>
      <c r="M83" s="4" t="s">
        <v>24</v>
      </c>
      <c r="N83" s="4" t="str">
        <f t="shared" si="3"/>
        <v>June</v>
      </c>
      <c r="O83" s="4" t="str">
        <f t="shared" si="4"/>
        <v>Q2</v>
      </c>
      <c r="P83" s="4">
        <f t="shared" si="5"/>
        <v>2025</v>
      </c>
    </row>
    <row r="84" spans="1:16" x14ac:dyDescent="0.25">
      <c r="A84" s="4">
        <v>83</v>
      </c>
      <c r="B84" s="5">
        <v>45923</v>
      </c>
      <c r="C84" s="4" t="s">
        <v>48</v>
      </c>
      <c r="D84" s="4" t="s">
        <v>59</v>
      </c>
      <c r="E84" s="4" t="s">
        <v>134</v>
      </c>
      <c r="F84" s="4" t="s">
        <v>22</v>
      </c>
      <c r="G84" s="4" t="s">
        <v>16</v>
      </c>
      <c r="H84" s="4">
        <v>2</v>
      </c>
      <c r="I84" s="6">
        <v>1200</v>
      </c>
      <c r="J84" s="6">
        <v>2400</v>
      </c>
      <c r="K84" t="str" cm="1">
        <f t="array" ref="K84">_xlfn.IFS(J84&lt;30000,"Low Value",J84&lt;=100000,"Medium Value",J84&gt;100000,"High Value")</f>
        <v>Low Value</v>
      </c>
      <c r="L84" s="4" t="s">
        <v>43</v>
      </c>
      <c r="M84" s="4" t="s">
        <v>18</v>
      </c>
      <c r="N84" s="4" t="str">
        <f t="shared" si="3"/>
        <v>September</v>
      </c>
      <c r="O84" s="4" t="str">
        <f t="shared" si="4"/>
        <v>Q3</v>
      </c>
      <c r="P84" s="4">
        <f t="shared" si="5"/>
        <v>2025</v>
      </c>
    </row>
    <row r="85" spans="1:16" x14ac:dyDescent="0.25">
      <c r="A85" s="4">
        <v>84</v>
      </c>
      <c r="B85" s="5">
        <v>45856</v>
      </c>
      <c r="C85" s="4" t="s">
        <v>19</v>
      </c>
      <c r="D85" s="4" t="s">
        <v>97</v>
      </c>
      <c r="E85" s="4" t="s">
        <v>135</v>
      </c>
      <c r="F85" s="4" t="s">
        <v>28</v>
      </c>
      <c r="G85" s="4" t="s">
        <v>29</v>
      </c>
      <c r="H85" s="4">
        <v>10</v>
      </c>
      <c r="I85" s="6">
        <v>3500</v>
      </c>
      <c r="J85" s="6">
        <v>35000</v>
      </c>
      <c r="K85" t="str" cm="1">
        <f t="array" ref="K85">_xlfn.IFS(J85&lt;30000,"Low Value",J85&lt;=100000,"Medium Value",J85&gt;100000,"High Value")</f>
        <v>Medium Value</v>
      </c>
      <c r="L85" s="4" t="s">
        <v>33</v>
      </c>
      <c r="M85" s="4" t="s">
        <v>18</v>
      </c>
      <c r="N85" s="4" t="str">
        <f t="shared" si="3"/>
        <v>July</v>
      </c>
      <c r="O85" s="4" t="str">
        <f t="shared" si="4"/>
        <v>Q3</v>
      </c>
      <c r="P85" s="4">
        <f t="shared" si="5"/>
        <v>2025</v>
      </c>
    </row>
    <row r="86" spans="1:16" x14ac:dyDescent="0.25">
      <c r="A86" s="4">
        <v>85</v>
      </c>
      <c r="B86" s="5">
        <v>45944</v>
      </c>
      <c r="C86" s="4" t="s">
        <v>34</v>
      </c>
      <c r="D86" s="4" t="s">
        <v>38</v>
      </c>
      <c r="E86" s="4" t="s">
        <v>136</v>
      </c>
      <c r="F86" s="4" t="s">
        <v>40</v>
      </c>
      <c r="G86" s="4" t="s">
        <v>16</v>
      </c>
      <c r="H86" s="4">
        <v>9</v>
      </c>
      <c r="I86" s="6">
        <v>500</v>
      </c>
      <c r="J86" s="6">
        <v>4500</v>
      </c>
      <c r="K86" t="str" cm="1">
        <f t="array" ref="K86">_xlfn.IFS(J86&lt;30000,"Low Value",J86&lt;=100000,"Medium Value",J86&gt;100000,"High Value")</f>
        <v>Low Value</v>
      </c>
      <c r="L86" s="4" t="s">
        <v>33</v>
      </c>
      <c r="M86" s="4" t="s">
        <v>24</v>
      </c>
      <c r="N86" s="4" t="str">
        <f t="shared" si="3"/>
        <v>October</v>
      </c>
      <c r="O86" s="4" t="str">
        <f t="shared" si="4"/>
        <v>Q4</v>
      </c>
      <c r="P86" s="4">
        <f t="shared" si="5"/>
        <v>2025</v>
      </c>
    </row>
    <row r="87" spans="1:16" x14ac:dyDescent="0.25">
      <c r="A87" s="4">
        <v>86</v>
      </c>
      <c r="B87" s="5">
        <v>45926</v>
      </c>
      <c r="C87" s="4" t="s">
        <v>48</v>
      </c>
      <c r="D87" s="4" t="s">
        <v>71</v>
      </c>
      <c r="E87" s="4" t="s">
        <v>137</v>
      </c>
      <c r="F87" s="4" t="s">
        <v>15</v>
      </c>
      <c r="G87" s="4" t="s">
        <v>16</v>
      </c>
      <c r="H87" s="4">
        <v>3</v>
      </c>
      <c r="I87" s="6">
        <v>55000</v>
      </c>
      <c r="J87" s="6">
        <v>165000</v>
      </c>
      <c r="K87" t="str" cm="1">
        <f t="array" ref="K87">_xlfn.IFS(J87&lt;30000,"Low Value",J87&lt;=100000,"Medium Value",J87&gt;100000,"High Value")</f>
        <v>High Value</v>
      </c>
      <c r="L87" s="4" t="s">
        <v>17</v>
      </c>
      <c r="M87" s="4" t="s">
        <v>24</v>
      </c>
      <c r="N87" s="4" t="str">
        <f t="shared" si="3"/>
        <v>September</v>
      </c>
      <c r="O87" s="4" t="str">
        <f t="shared" si="4"/>
        <v>Q3</v>
      </c>
      <c r="P87" s="4">
        <f t="shared" si="5"/>
        <v>2025</v>
      </c>
    </row>
    <row r="88" spans="1:16" x14ac:dyDescent="0.25">
      <c r="A88" s="4">
        <v>87</v>
      </c>
      <c r="B88" s="5">
        <v>45713</v>
      </c>
      <c r="C88" s="4" t="s">
        <v>12</v>
      </c>
      <c r="D88" s="4" t="s">
        <v>64</v>
      </c>
      <c r="E88" s="4" t="s">
        <v>138</v>
      </c>
      <c r="F88" s="4" t="s">
        <v>47</v>
      </c>
      <c r="G88" s="4" t="s">
        <v>16</v>
      </c>
      <c r="H88" s="4">
        <v>3</v>
      </c>
      <c r="I88" s="6">
        <v>9000</v>
      </c>
      <c r="J88" s="6">
        <v>27000</v>
      </c>
      <c r="K88" t="str" cm="1">
        <f t="array" ref="K88">_xlfn.IFS(J88&lt;30000,"Low Value",J88&lt;=100000,"Medium Value",J88&gt;100000,"High Value")</f>
        <v>Low Value</v>
      </c>
      <c r="L88" s="4" t="s">
        <v>33</v>
      </c>
      <c r="M88" s="4" t="s">
        <v>24</v>
      </c>
      <c r="N88" s="4" t="str">
        <f t="shared" si="3"/>
        <v>February</v>
      </c>
      <c r="O88" s="4" t="str">
        <f t="shared" si="4"/>
        <v>Q1</v>
      </c>
      <c r="P88" s="4">
        <f t="shared" si="5"/>
        <v>2025</v>
      </c>
    </row>
    <row r="89" spans="1:16" x14ac:dyDescent="0.25">
      <c r="A89" s="4">
        <v>88</v>
      </c>
      <c r="B89" s="5">
        <v>45732</v>
      </c>
      <c r="C89" s="4" t="s">
        <v>48</v>
      </c>
      <c r="D89" s="4" t="s">
        <v>36</v>
      </c>
      <c r="E89" s="4" t="s">
        <v>139</v>
      </c>
      <c r="F89" s="4" t="s">
        <v>40</v>
      </c>
      <c r="G89" s="4" t="s">
        <v>16</v>
      </c>
      <c r="H89" s="4">
        <v>9</v>
      </c>
      <c r="I89" s="6">
        <v>500</v>
      </c>
      <c r="J89" s="6">
        <v>4500</v>
      </c>
      <c r="K89" t="str" cm="1">
        <f t="array" ref="K89">_xlfn.IFS(J89&lt;30000,"Low Value",J89&lt;=100000,"Medium Value",J89&gt;100000,"High Value")</f>
        <v>Low Value</v>
      </c>
      <c r="L89" s="4" t="s">
        <v>33</v>
      </c>
      <c r="M89" s="4" t="s">
        <v>24</v>
      </c>
      <c r="N89" s="4" t="str">
        <f t="shared" si="3"/>
        <v>March</v>
      </c>
      <c r="O89" s="4" t="str">
        <f t="shared" si="4"/>
        <v>Q1</v>
      </c>
      <c r="P89" s="4">
        <f t="shared" si="5"/>
        <v>2025</v>
      </c>
    </row>
    <row r="90" spans="1:16" x14ac:dyDescent="0.25">
      <c r="A90" s="4">
        <v>89</v>
      </c>
      <c r="B90" s="5">
        <v>45745</v>
      </c>
      <c r="C90" s="4" t="s">
        <v>12</v>
      </c>
      <c r="D90" s="4" t="s">
        <v>38</v>
      </c>
      <c r="E90" s="4" t="s">
        <v>140</v>
      </c>
      <c r="F90" s="4" t="s">
        <v>28</v>
      </c>
      <c r="G90" s="4" t="s">
        <v>29</v>
      </c>
      <c r="H90" s="4">
        <v>10</v>
      </c>
      <c r="I90" s="6">
        <v>3500</v>
      </c>
      <c r="J90" s="6">
        <v>35000</v>
      </c>
      <c r="K90" t="str" cm="1">
        <f t="array" ref="K90">_xlfn.IFS(J90&lt;30000,"Low Value",J90&lt;=100000,"Medium Value",J90&gt;100000,"High Value")</f>
        <v>Medium Value</v>
      </c>
      <c r="L90" s="4" t="s">
        <v>43</v>
      </c>
      <c r="M90" s="4" t="s">
        <v>24</v>
      </c>
      <c r="N90" s="4" t="str">
        <f t="shared" si="3"/>
        <v>March</v>
      </c>
      <c r="O90" s="4" t="str">
        <f t="shared" si="4"/>
        <v>Q1</v>
      </c>
      <c r="P90" s="4">
        <f t="shared" si="5"/>
        <v>2025</v>
      </c>
    </row>
    <row r="91" spans="1:16" x14ac:dyDescent="0.25">
      <c r="A91" s="4">
        <v>90</v>
      </c>
      <c r="B91" s="5">
        <v>45838</v>
      </c>
      <c r="C91" s="4" t="s">
        <v>25</v>
      </c>
      <c r="D91" s="4" t="s">
        <v>13</v>
      </c>
      <c r="E91" s="4" t="s">
        <v>141</v>
      </c>
      <c r="F91" s="4" t="s">
        <v>15</v>
      </c>
      <c r="G91" s="4" t="s">
        <v>16</v>
      </c>
      <c r="H91" s="4">
        <v>10</v>
      </c>
      <c r="I91" s="6">
        <v>55000</v>
      </c>
      <c r="J91" s="6">
        <v>550000</v>
      </c>
      <c r="K91" t="str" cm="1">
        <f t="array" ref="K91">_xlfn.IFS(J91&lt;30000,"Low Value",J91&lt;=100000,"Medium Value",J91&gt;100000,"High Value")</f>
        <v>High Value</v>
      </c>
      <c r="L91" s="4" t="s">
        <v>43</v>
      </c>
      <c r="M91" s="4" t="s">
        <v>24</v>
      </c>
      <c r="N91" s="4" t="str">
        <f t="shared" si="3"/>
        <v>June</v>
      </c>
      <c r="O91" s="4" t="str">
        <f t="shared" si="4"/>
        <v>Q2</v>
      </c>
      <c r="P91" s="4">
        <f t="shared" si="5"/>
        <v>2025</v>
      </c>
    </row>
    <row r="92" spans="1:16" x14ac:dyDescent="0.25">
      <c r="A92" s="4">
        <v>91</v>
      </c>
      <c r="B92" s="5">
        <v>45845</v>
      </c>
      <c r="C92" s="4" t="s">
        <v>12</v>
      </c>
      <c r="D92" s="4" t="s">
        <v>85</v>
      </c>
      <c r="E92" s="4" t="s">
        <v>142</v>
      </c>
      <c r="F92" s="4" t="s">
        <v>28</v>
      </c>
      <c r="G92" s="4" t="s">
        <v>29</v>
      </c>
      <c r="H92" s="4">
        <v>4</v>
      </c>
      <c r="I92" s="6">
        <v>3500</v>
      </c>
      <c r="J92" s="6">
        <v>14000</v>
      </c>
      <c r="K92" t="str" cm="1">
        <f t="array" ref="K92">_xlfn.IFS(J92&lt;30000,"Low Value",J92&lt;=100000,"Medium Value",J92&gt;100000,"High Value")</f>
        <v>Low Value</v>
      </c>
      <c r="L92" s="4" t="s">
        <v>17</v>
      </c>
      <c r="M92" s="4" t="s">
        <v>24</v>
      </c>
      <c r="N92" s="4" t="str">
        <f t="shared" si="3"/>
        <v>July</v>
      </c>
      <c r="O92" s="4" t="str">
        <f t="shared" si="4"/>
        <v>Q3</v>
      </c>
      <c r="P92" s="4">
        <f t="shared" si="5"/>
        <v>2025</v>
      </c>
    </row>
    <row r="93" spans="1:16" x14ac:dyDescent="0.25">
      <c r="A93" s="4">
        <v>92</v>
      </c>
      <c r="B93" s="5">
        <v>45867</v>
      </c>
      <c r="C93" s="4" t="s">
        <v>19</v>
      </c>
      <c r="D93" s="4" t="s">
        <v>44</v>
      </c>
      <c r="E93" s="4" t="s">
        <v>143</v>
      </c>
      <c r="F93" s="4" t="s">
        <v>40</v>
      </c>
      <c r="G93" s="4" t="s">
        <v>16</v>
      </c>
      <c r="H93" s="4">
        <v>1</v>
      </c>
      <c r="I93" s="6">
        <v>500</v>
      </c>
      <c r="J93" s="6">
        <v>500</v>
      </c>
      <c r="K93" t="str" cm="1">
        <f t="array" ref="K93">_xlfn.IFS(J93&lt;30000,"Low Value",J93&lt;=100000,"Medium Value",J93&gt;100000,"High Value")</f>
        <v>Low Value</v>
      </c>
      <c r="L93" s="4" t="s">
        <v>17</v>
      </c>
      <c r="M93" s="4" t="s">
        <v>24</v>
      </c>
      <c r="N93" s="4" t="str">
        <f t="shared" si="3"/>
        <v>July</v>
      </c>
      <c r="O93" s="4" t="str">
        <f t="shared" si="4"/>
        <v>Q3</v>
      </c>
      <c r="P93" s="4">
        <f t="shared" si="5"/>
        <v>2025</v>
      </c>
    </row>
    <row r="94" spans="1:16" x14ac:dyDescent="0.25">
      <c r="A94" s="4">
        <v>93</v>
      </c>
      <c r="B94" s="5">
        <v>45857</v>
      </c>
      <c r="C94" s="4" t="s">
        <v>12</v>
      </c>
      <c r="D94" s="4" t="s">
        <v>38</v>
      </c>
      <c r="E94" s="4" t="s">
        <v>144</v>
      </c>
      <c r="F94" s="4" t="s">
        <v>47</v>
      </c>
      <c r="G94" s="4" t="s">
        <v>16</v>
      </c>
      <c r="H94" s="4">
        <v>6</v>
      </c>
      <c r="I94" s="6">
        <v>9000</v>
      </c>
      <c r="J94" s="6">
        <v>54000</v>
      </c>
      <c r="K94" t="str" cm="1">
        <f t="array" ref="K94">_xlfn.IFS(J94&lt;30000,"Low Value",J94&lt;=100000,"Medium Value",J94&gt;100000,"High Value")</f>
        <v>Medium Value</v>
      </c>
      <c r="L94" s="4" t="s">
        <v>17</v>
      </c>
      <c r="M94" s="4" t="s">
        <v>24</v>
      </c>
      <c r="N94" s="4" t="str">
        <f t="shared" si="3"/>
        <v>July</v>
      </c>
      <c r="O94" s="4" t="str">
        <f t="shared" si="4"/>
        <v>Q3</v>
      </c>
      <c r="P94" s="4">
        <f t="shared" si="5"/>
        <v>2025</v>
      </c>
    </row>
    <row r="95" spans="1:16" x14ac:dyDescent="0.25">
      <c r="A95" s="4">
        <v>94</v>
      </c>
      <c r="B95" s="5">
        <v>45943</v>
      </c>
      <c r="C95" s="4" t="s">
        <v>34</v>
      </c>
      <c r="D95" s="4" t="s">
        <v>20</v>
      </c>
      <c r="E95" s="4" t="s">
        <v>145</v>
      </c>
      <c r="F95" s="4" t="s">
        <v>28</v>
      </c>
      <c r="G95" s="4" t="s">
        <v>29</v>
      </c>
      <c r="H95" s="4">
        <v>7</v>
      </c>
      <c r="I95" s="6">
        <v>3500</v>
      </c>
      <c r="J95" s="6">
        <v>24500</v>
      </c>
      <c r="K95" t="str" cm="1">
        <f t="array" ref="K95">_xlfn.IFS(J95&lt;30000,"Low Value",J95&lt;=100000,"Medium Value",J95&gt;100000,"High Value")</f>
        <v>Low Value</v>
      </c>
      <c r="L95" s="4" t="s">
        <v>23</v>
      </c>
      <c r="M95" s="4" t="s">
        <v>24</v>
      </c>
      <c r="N95" s="4" t="str">
        <f t="shared" si="3"/>
        <v>October</v>
      </c>
      <c r="O95" s="4" t="str">
        <f t="shared" si="4"/>
        <v>Q4</v>
      </c>
      <c r="P95" s="4">
        <f t="shared" si="5"/>
        <v>2025</v>
      </c>
    </row>
    <row r="96" spans="1:16" x14ac:dyDescent="0.25">
      <c r="A96" s="4">
        <v>95</v>
      </c>
      <c r="B96" s="5">
        <v>45967</v>
      </c>
      <c r="C96" s="4" t="s">
        <v>25</v>
      </c>
      <c r="D96" s="4" t="s">
        <v>121</v>
      </c>
      <c r="E96" s="4" t="s">
        <v>146</v>
      </c>
      <c r="F96" s="4" t="s">
        <v>40</v>
      </c>
      <c r="G96" s="4" t="s">
        <v>16</v>
      </c>
      <c r="H96" s="4">
        <v>7</v>
      </c>
      <c r="I96" s="6">
        <v>500</v>
      </c>
      <c r="J96" s="6">
        <v>3500</v>
      </c>
      <c r="K96" t="str" cm="1">
        <f t="array" ref="K96">_xlfn.IFS(J96&lt;30000,"Low Value",J96&lt;=100000,"Medium Value",J96&gt;100000,"High Value")</f>
        <v>Low Value</v>
      </c>
      <c r="L96" s="4" t="s">
        <v>43</v>
      </c>
      <c r="M96" s="4" t="s">
        <v>24</v>
      </c>
      <c r="N96" s="4" t="str">
        <f t="shared" si="3"/>
        <v>November</v>
      </c>
      <c r="O96" s="4" t="str">
        <f t="shared" si="4"/>
        <v>Q4</v>
      </c>
      <c r="P96" s="4">
        <f t="shared" si="5"/>
        <v>2025</v>
      </c>
    </row>
    <row r="97" spans="1:16" x14ac:dyDescent="0.25">
      <c r="A97" s="4">
        <v>96</v>
      </c>
      <c r="B97" s="5">
        <v>45816</v>
      </c>
      <c r="C97" s="4" t="s">
        <v>48</v>
      </c>
      <c r="D97" s="4" t="s">
        <v>64</v>
      </c>
      <c r="E97" s="4" t="s">
        <v>147</v>
      </c>
      <c r="F97" s="4" t="s">
        <v>28</v>
      </c>
      <c r="G97" s="4" t="s">
        <v>29</v>
      </c>
      <c r="H97" s="4">
        <v>2</v>
      </c>
      <c r="I97" s="6">
        <v>3500</v>
      </c>
      <c r="J97" s="6">
        <v>7000</v>
      </c>
      <c r="K97" t="str" cm="1">
        <f t="array" ref="K97">_xlfn.IFS(J97&lt;30000,"Low Value",J97&lt;=100000,"Medium Value",J97&gt;100000,"High Value")</f>
        <v>Low Value</v>
      </c>
      <c r="L97" s="4" t="s">
        <v>33</v>
      </c>
      <c r="M97" s="4" t="s">
        <v>54</v>
      </c>
      <c r="N97" s="4" t="str">
        <f t="shared" si="3"/>
        <v>June</v>
      </c>
      <c r="O97" s="4" t="str">
        <f t="shared" si="4"/>
        <v>Q2</v>
      </c>
      <c r="P97" s="4">
        <f t="shared" si="5"/>
        <v>2025</v>
      </c>
    </row>
    <row r="98" spans="1:16" x14ac:dyDescent="0.25">
      <c r="A98" s="4">
        <v>97</v>
      </c>
      <c r="B98" s="5">
        <v>45804</v>
      </c>
      <c r="C98" s="4" t="s">
        <v>25</v>
      </c>
      <c r="D98" s="4" t="s">
        <v>26</v>
      </c>
      <c r="E98" s="4" t="s">
        <v>148</v>
      </c>
      <c r="F98" s="4" t="s">
        <v>22</v>
      </c>
      <c r="G98" s="4" t="s">
        <v>16</v>
      </c>
      <c r="H98" s="4">
        <v>2</v>
      </c>
      <c r="I98" s="6">
        <v>1200</v>
      </c>
      <c r="J98" s="6">
        <v>2400</v>
      </c>
      <c r="K98" t="str" cm="1">
        <f t="array" ref="K98">_xlfn.IFS(J98&lt;30000,"Low Value",J98&lt;=100000,"Medium Value",J98&gt;100000,"High Value")</f>
        <v>Low Value</v>
      </c>
      <c r="L98" s="4" t="s">
        <v>23</v>
      </c>
      <c r="M98" s="4" t="s">
        <v>24</v>
      </c>
      <c r="N98" s="4" t="str">
        <f t="shared" si="3"/>
        <v>May</v>
      </c>
      <c r="O98" s="4" t="str">
        <f t="shared" si="4"/>
        <v>Q2</v>
      </c>
      <c r="P98" s="4">
        <f t="shared" si="5"/>
        <v>2025</v>
      </c>
    </row>
    <row r="99" spans="1:16" x14ac:dyDescent="0.25">
      <c r="A99" s="4">
        <v>98</v>
      </c>
      <c r="B99" s="5">
        <v>45716</v>
      </c>
      <c r="C99" s="4" t="s">
        <v>48</v>
      </c>
      <c r="D99" s="4" t="s">
        <v>38</v>
      </c>
      <c r="E99" s="4" t="s">
        <v>149</v>
      </c>
      <c r="F99" s="4" t="s">
        <v>22</v>
      </c>
      <c r="G99" s="4" t="s">
        <v>16</v>
      </c>
      <c r="H99" s="4">
        <v>2</v>
      </c>
      <c r="I99" s="6">
        <v>1200</v>
      </c>
      <c r="J99" s="6">
        <v>2400</v>
      </c>
      <c r="K99" t="str" cm="1">
        <f t="array" ref="K99">_xlfn.IFS(J99&lt;30000,"Low Value",J99&lt;=100000,"Medium Value",J99&gt;100000,"High Value")</f>
        <v>Low Value</v>
      </c>
      <c r="L99" s="4" t="s">
        <v>17</v>
      </c>
      <c r="M99" s="4" t="s">
        <v>24</v>
      </c>
      <c r="N99" s="4" t="str">
        <f t="shared" si="3"/>
        <v>February</v>
      </c>
      <c r="O99" s="4" t="str">
        <f t="shared" si="4"/>
        <v>Q1</v>
      </c>
      <c r="P99" s="4">
        <f t="shared" si="5"/>
        <v>2025</v>
      </c>
    </row>
    <row r="100" spans="1:16" x14ac:dyDescent="0.25">
      <c r="A100" s="4">
        <v>99</v>
      </c>
      <c r="B100" s="5">
        <v>45878</v>
      </c>
      <c r="C100" s="4" t="s">
        <v>19</v>
      </c>
      <c r="D100" s="4" t="s">
        <v>55</v>
      </c>
      <c r="E100" s="4" t="s">
        <v>150</v>
      </c>
      <c r="F100" s="4" t="s">
        <v>32</v>
      </c>
      <c r="G100" s="4" t="s">
        <v>29</v>
      </c>
      <c r="H100" s="4">
        <v>6</v>
      </c>
      <c r="I100" s="6">
        <v>7000</v>
      </c>
      <c r="J100" s="6">
        <v>42000</v>
      </c>
      <c r="K100" t="str" cm="1">
        <f t="array" ref="K100">_xlfn.IFS(J100&lt;30000,"Low Value",J100&lt;=100000,"Medium Value",J100&gt;100000,"High Value")</f>
        <v>Medium Value</v>
      </c>
      <c r="L100" s="4" t="s">
        <v>17</v>
      </c>
      <c r="M100" s="4" t="s">
        <v>24</v>
      </c>
      <c r="N100" s="4" t="str">
        <f t="shared" si="3"/>
        <v>August</v>
      </c>
      <c r="O100" s="4" t="str">
        <f t="shared" si="4"/>
        <v>Q3</v>
      </c>
      <c r="P100" s="4">
        <f t="shared" si="5"/>
        <v>2025</v>
      </c>
    </row>
    <row r="101" spans="1:16" x14ac:dyDescent="0.25">
      <c r="A101" s="4">
        <v>100</v>
      </c>
      <c r="B101" s="5">
        <v>45939</v>
      </c>
      <c r="C101" s="4" t="s">
        <v>12</v>
      </c>
      <c r="D101" s="4" t="s">
        <v>26</v>
      </c>
      <c r="E101" s="4" t="s">
        <v>151</v>
      </c>
      <c r="F101" s="4" t="s">
        <v>32</v>
      </c>
      <c r="G101" s="4" t="s">
        <v>29</v>
      </c>
      <c r="H101" s="4">
        <v>9</v>
      </c>
      <c r="I101" s="6">
        <v>7000</v>
      </c>
      <c r="J101" s="6">
        <v>63000</v>
      </c>
      <c r="K101" t="str" cm="1">
        <f t="array" ref="K101">_xlfn.IFS(J101&lt;30000,"Low Value",J101&lt;=100000,"Medium Value",J101&gt;100000,"High Value")</f>
        <v>Medium Value</v>
      </c>
      <c r="L101" s="4" t="s">
        <v>33</v>
      </c>
      <c r="M101" s="4" t="s">
        <v>24</v>
      </c>
      <c r="N101" s="4" t="str">
        <f t="shared" si="3"/>
        <v>October</v>
      </c>
      <c r="O101" s="4" t="str">
        <f t="shared" si="4"/>
        <v>Q4</v>
      </c>
      <c r="P101" s="4">
        <f t="shared" si="5"/>
        <v>2025</v>
      </c>
    </row>
    <row r="102" spans="1:16" x14ac:dyDescent="0.25">
      <c r="A102" s="4">
        <v>101</v>
      </c>
      <c r="B102" s="5">
        <v>45919</v>
      </c>
      <c r="C102" s="4" t="s">
        <v>34</v>
      </c>
      <c r="D102" s="4" t="s">
        <v>13</v>
      </c>
      <c r="E102" s="4" t="s">
        <v>152</v>
      </c>
      <c r="F102" s="4" t="s">
        <v>47</v>
      </c>
      <c r="G102" s="4" t="s">
        <v>16</v>
      </c>
      <c r="H102" s="4">
        <v>6</v>
      </c>
      <c r="I102" s="6">
        <v>9000</v>
      </c>
      <c r="J102" s="6">
        <v>54000</v>
      </c>
      <c r="K102" t="str" cm="1">
        <f t="array" ref="K102">_xlfn.IFS(J102&lt;30000,"Low Value",J102&lt;=100000,"Medium Value",J102&gt;100000,"High Value")</f>
        <v>Medium Value</v>
      </c>
      <c r="L102" s="4" t="s">
        <v>43</v>
      </c>
      <c r="M102" s="4" t="s">
        <v>24</v>
      </c>
      <c r="N102" s="4" t="str">
        <f t="shared" si="3"/>
        <v>September</v>
      </c>
      <c r="O102" s="4" t="str">
        <f t="shared" si="4"/>
        <v>Q3</v>
      </c>
      <c r="P102" s="4">
        <f t="shared" si="5"/>
        <v>2025</v>
      </c>
    </row>
    <row r="103" spans="1:16" x14ac:dyDescent="0.25">
      <c r="A103" s="4">
        <v>102</v>
      </c>
      <c r="B103" s="5">
        <v>45658</v>
      </c>
      <c r="C103" s="4" t="s">
        <v>12</v>
      </c>
      <c r="D103" s="4" t="s">
        <v>59</v>
      </c>
      <c r="E103" s="4" t="s">
        <v>153</v>
      </c>
      <c r="F103" s="4" t="s">
        <v>15</v>
      </c>
      <c r="G103" s="4" t="s">
        <v>16</v>
      </c>
      <c r="H103" s="4">
        <v>9</v>
      </c>
      <c r="I103" s="6">
        <v>55000</v>
      </c>
      <c r="J103" s="6">
        <v>495000</v>
      </c>
      <c r="K103" t="str" cm="1">
        <f t="array" ref="K103">_xlfn.IFS(J103&lt;30000,"Low Value",J103&lt;=100000,"Medium Value",J103&gt;100000,"High Value")</f>
        <v>High Value</v>
      </c>
      <c r="L103" s="4" t="s">
        <v>33</v>
      </c>
      <c r="M103" s="4" t="s">
        <v>24</v>
      </c>
      <c r="N103" s="4" t="str">
        <f t="shared" si="3"/>
        <v>January</v>
      </c>
      <c r="O103" s="4" t="str">
        <f t="shared" si="4"/>
        <v>Q1</v>
      </c>
      <c r="P103" s="4">
        <f t="shared" si="5"/>
        <v>2025</v>
      </c>
    </row>
    <row r="104" spans="1:16" x14ac:dyDescent="0.25">
      <c r="A104" s="4">
        <v>103</v>
      </c>
      <c r="B104" s="5">
        <v>45788</v>
      </c>
      <c r="C104" s="4" t="s">
        <v>19</v>
      </c>
      <c r="D104" s="4" t="s">
        <v>38</v>
      </c>
      <c r="E104" s="4" t="s">
        <v>154</v>
      </c>
      <c r="F104" s="4" t="s">
        <v>22</v>
      </c>
      <c r="G104" s="4" t="s">
        <v>16</v>
      </c>
      <c r="H104" s="4">
        <v>4</v>
      </c>
      <c r="I104" s="6">
        <v>1200</v>
      </c>
      <c r="J104" s="6">
        <v>4800</v>
      </c>
      <c r="K104" t="str" cm="1">
        <f t="array" ref="K104">_xlfn.IFS(J104&lt;30000,"Low Value",J104&lt;=100000,"Medium Value",J104&gt;100000,"High Value")</f>
        <v>Low Value</v>
      </c>
      <c r="L104" s="4" t="s">
        <v>33</v>
      </c>
      <c r="M104" s="4" t="s">
        <v>24</v>
      </c>
      <c r="N104" s="4" t="str">
        <f t="shared" si="3"/>
        <v>May</v>
      </c>
      <c r="O104" s="4" t="str">
        <f t="shared" si="4"/>
        <v>Q2</v>
      </c>
      <c r="P104" s="4">
        <f t="shared" si="5"/>
        <v>2025</v>
      </c>
    </row>
    <row r="105" spans="1:16" x14ac:dyDescent="0.25">
      <c r="A105" s="4">
        <v>104</v>
      </c>
      <c r="B105" s="5">
        <v>45673</v>
      </c>
      <c r="C105" s="4" t="s">
        <v>25</v>
      </c>
      <c r="D105" s="4" t="s">
        <v>52</v>
      </c>
      <c r="E105" s="4" t="s">
        <v>155</v>
      </c>
      <c r="F105" s="4" t="s">
        <v>28</v>
      </c>
      <c r="G105" s="4" t="s">
        <v>29</v>
      </c>
      <c r="H105" s="4">
        <v>8</v>
      </c>
      <c r="I105" s="6">
        <v>3500</v>
      </c>
      <c r="J105" s="6">
        <v>28000</v>
      </c>
      <c r="K105" t="str" cm="1">
        <f t="array" ref="K105">_xlfn.IFS(J105&lt;30000,"Low Value",J105&lt;=100000,"Medium Value",J105&gt;100000,"High Value")</f>
        <v>Low Value</v>
      </c>
      <c r="L105" s="4" t="s">
        <v>33</v>
      </c>
      <c r="M105" s="4" t="s">
        <v>24</v>
      </c>
      <c r="N105" s="4" t="str">
        <f t="shared" si="3"/>
        <v>January</v>
      </c>
      <c r="O105" s="4" t="str">
        <f t="shared" si="4"/>
        <v>Q1</v>
      </c>
      <c r="P105" s="4">
        <f t="shared" si="5"/>
        <v>2025</v>
      </c>
    </row>
    <row r="106" spans="1:16" x14ac:dyDescent="0.25">
      <c r="A106" s="4">
        <v>105</v>
      </c>
      <c r="B106" s="5">
        <v>45922</v>
      </c>
      <c r="C106" s="4" t="s">
        <v>25</v>
      </c>
      <c r="D106" s="4" t="s">
        <v>20</v>
      </c>
      <c r="E106" s="4" t="s">
        <v>156</v>
      </c>
      <c r="F106" s="4" t="s">
        <v>15</v>
      </c>
      <c r="G106" s="4" t="s">
        <v>16</v>
      </c>
      <c r="H106" s="4">
        <v>1</v>
      </c>
      <c r="I106" s="6">
        <v>55000</v>
      </c>
      <c r="J106" s="6">
        <v>55000</v>
      </c>
      <c r="K106" t="str" cm="1">
        <f t="array" ref="K106">_xlfn.IFS(J106&lt;30000,"Low Value",J106&lt;=100000,"Medium Value",J106&gt;100000,"High Value")</f>
        <v>Medium Value</v>
      </c>
      <c r="L106" s="4" t="s">
        <v>43</v>
      </c>
      <c r="M106" s="4" t="s">
        <v>24</v>
      </c>
      <c r="N106" s="4" t="str">
        <f t="shared" si="3"/>
        <v>September</v>
      </c>
      <c r="O106" s="4" t="str">
        <f t="shared" si="4"/>
        <v>Q3</v>
      </c>
      <c r="P106" s="4">
        <f t="shared" si="5"/>
        <v>2025</v>
      </c>
    </row>
    <row r="107" spans="1:16" x14ac:dyDescent="0.25">
      <c r="A107" s="4">
        <v>106</v>
      </c>
      <c r="B107" s="5">
        <v>45948</v>
      </c>
      <c r="C107" s="4" t="s">
        <v>12</v>
      </c>
      <c r="D107" s="4" t="s">
        <v>36</v>
      </c>
      <c r="E107" s="4" t="s">
        <v>157</v>
      </c>
      <c r="F107" s="4" t="s">
        <v>22</v>
      </c>
      <c r="G107" s="4" t="s">
        <v>16</v>
      </c>
      <c r="H107" s="4">
        <v>8</v>
      </c>
      <c r="I107" s="6">
        <v>1200</v>
      </c>
      <c r="J107" s="6">
        <v>9600</v>
      </c>
      <c r="K107" t="str" cm="1">
        <f t="array" ref="K107">_xlfn.IFS(J107&lt;30000,"Low Value",J107&lt;=100000,"Medium Value",J107&gt;100000,"High Value")</f>
        <v>Low Value</v>
      </c>
      <c r="L107" s="4" t="s">
        <v>23</v>
      </c>
      <c r="M107" s="4" t="s">
        <v>24</v>
      </c>
      <c r="N107" s="4" t="str">
        <f t="shared" si="3"/>
        <v>October</v>
      </c>
      <c r="O107" s="4" t="str">
        <f t="shared" si="4"/>
        <v>Q4</v>
      </c>
      <c r="P107" s="4">
        <f t="shared" si="5"/>
        <v>2025</v>
      </c>
    </row>
    <row r="108" spans="1:16" x14ac:dyDescent="0.25">
      <c r="A108" s="4">
        <v>107</v>
      </c>
      <c r="B108" s="5">
        <v>46019</v>
      </c>
      <c r="C108" s="4" t="s">
        <v>12</v>
      </c>
      <c r="D108" s="4" t="s">
        <v>30</v>
      </c>
      <c r="E108" s="4" t="s">
        <v>158</v>
      </c>
      <c r="F108" s="4" t="s">
        <v>28</v>
      </c>
      <c r="G108" s="4" t="s">
        <v>29</v>
      </c>
      <c r="H108" s="4">
        <v>7</v>
      </c>
      <c r="I108" s="6">
        <v>3500</v>
      </c>
      <c r="J108" s="6">
        <v>24500</v>
      </c>
      <c r="K108" t="str" cm="1">
        <f t="array" ref="K108">_xlfn.IFS(J108&lt;30000,"Low Value",J108&lt;=100000,"Medium Value",J108&gt;100000,"High Value")</f>
        <v>Low Value</v>
      </c>
      <c r="L108" s="4" t="s">
        <v>43</v>
      </c>
      <c r="M108" s="4" t="s">
        <v>18</v>
      </c>
      <c r="N108" s="4" t="str">
        <f t="shared" si="3"/>
        <v>December</v>
      </c>
      <c r="O108" s="4" t="str">
        <f t="shared" si="4"/>
        <v>Q4</v>
      </c>
      <c r="P108" s="4">
        <f t="shared" si="5"/>
        <v>2025</v>
      </c>
    </row>
    <row r="109" spans="1:16" x14ac:dyDescent="0.25">
      <c r="A109" s="4">
        <v>108</v>
      </c>
      <c r="B109" s="5">
        <v>45802</v>
      </c>
      <c r="C109" s="4" t="s">
        <v>12</v>
      </c>
      <c r="D109" s="4" t="s">
        <v>49</v>
      </c>
      <c r="E109" s="4" t="s">
        <v>159</v>
      </c>
      <c r="F109" s="4" t="s">
        <v>40</v>
      </c>
      <c r="G109" s="4" t="s">
        <v>16</v>
      </c>
      <c r="H109" s="4">
        <v>10</v>
      </c>
      <c r="I109" s="6">
        <v>500</v>
      </c>
      <c r="J109" s="6">
        <v>5000</v>
      </c>
      <c r="K109" t="str" cm="1">
        <f t="array" ref="K109">_xlfn.IFS(J109&lt;30000,"Low Value",J109&lt;=100000,"Medium Value",J109&gt;100000,"High Value")</f>
        <v>Low Value</v>
      </c>
      <c r="L109" s="4" t="s">
        <v>43</v>
      </c>
      <c r="M109" s="4" t="s">
        <v>24</v>
      </c>
      <c r="N109" s="4" t="str">
        <f t="shared" si="3"/>
        <v>May</v>
      </c>
      <c r="O109" s="4" t="str">
        <f t="shared" si="4"/>
        <v>Q2</v>
      </c>
      <c r="P109" s="4">
        <f t="shared" si="5"/>
        <v>2025</v>
      </c>
    </row>
    <row r="110" spans="1:16" x14ac:dyDescent="0.25">
      <c r="A110" s="4">
        <v>109</v>
      </c>
      <c r="B110" s="5">
        <v>45695</v>
      </c>
      <c r="C110" s="4" t="s">
        <v>12</v>
      </c>
      <c r="D110" s="4" t="s">
        <v>97</v>
      </c>
      <c r="E110" s="4" t="s">
        <v>160</v>
      </c>
      <c r="F110" s="4" t="s">
        <v>32</v>
      </c>
      <c r="G110" s="4" t="s">
        <v>29</v>
      </c>
      <c r="H110" s="4">
        <v>8</v>
      </c>
      <c r="I110" s="6">
        <v>7000</v>
      </c>
      <c r="J110" s="6">
        <v>56000</v>
      </c>
      <c r="K110" t="str" cm="1">
        <f t="array" ref="K110">_xlfn.IFS(J110&lt;30000,"Low Value",J110&lt;=100000,"Medium Value",J110&gt;100000,"High Value")</f>
        <v>Medium Value</v>
      </c>
      <c r="L110" s="4" t="s">
        <v>23</v>
      </c>
      <c r="M110" s="4" t="s">
        <v>54</v>
      </c>
      <c r="N110" s="4" t="str">
        <f t="shared" si="3"/>
        <v>February</v>
      </c>
      <c r="O110" s="4" t="str">
        <f t="shared" si="4"/>
        <v>Q1</v>
      </c>
      <c r="P110" s="4">
        <f t="shared" si="5"/>
        <v>2025</v>
      </c>
    </row>
    <row r="111" spans="1:16" x14ac:dyDescent="0.25">
      <c r="A111" s="4">
        <v>110</v>
      </c>
      <c r="B111" s="5">
        <v>45880</v>
      </c>
      <c r="C111" s="4" t="s">
        <v>48</v>
      </c>
      <c r="D111" s="4" t="s">
        <v>92</v>
      </c>
      <c r="E111" s="4" t="s">
        <v>161</v>
      </c>
      <c r="F111" s="4" t="s">
        <v>28</v>
      </c>
      <c r="G111" s="4" t="s">
        <v>29</v>
      </c>
      <c r="H111" s="4">
        <v>9</v>
      </c>
      <c r="I111" s="6">
        <v>3500</v>
      </c>
      <c r="J111" s="6">
        <v>31500</v>
      </c>
      <c r="K111" t="str" cm="1">
        <f t="array" ref="K111">_xlfn.IFS(J111&lt;30000,"Low Value",J111&lt;=100000,"Medium Value",J111&gt;100000,"High Value")</f>
        <v>Medium Value</v>
      </c>
      <c r="L111" s="4" t="s">
        <v>33</v>
      </c>
      <c r="M111" s="4" t="s">
        <v>24</v>
      </c>
      <c r="N111" s="4" t="str">
        <f t="shared" si="3"/>
        <v>August</v>
      </c>
      <c r="O111" s="4" t="str">
        <f t="shared" si="4"/>
        <v>Q3</v>
      </c>
      <c r="P111" s="4">
        <f t="shared" si="5"/>
        <v>2025</v>
      </c>
    </row>
    <row r="112" spans="1:16" x14ac:dyDescent="0.25">
      <c r="A112" s="4">
        <v>111</v>
      </c>
      <c r="B112" s="5">
        <v>45898</v>
      </c>
      <c r="C112" s="4" t="s">
        <v>19</v>
      </c>
      <c r="D112" s="4" t="s">
        <v>85</v>
      </c>
      <c r="E112" s="4" t="s">
        <v>162</v>
      </c>
      <c r="F112" s="4" t="s">
        <v>22</v>
      </c>
      <c r="G112" s="4" t="s">
        <v>16</v>
      </c>
      <c r="H112" s="4">
        <v>9</v>
      </c>
      <c r="I112" s="6">
        <v>1200</v>
      </c>
      <c r="J112" s="6">
        <v>10800</v>
      </c>
      <c r="K112" t="str" cm="1">
        <f t="array" ref="K112">_xlfn.IFS(J112&lt;30000,"Low Value",J112&lt;=100000,"Medium Value",J112&gt;100000,"High Value")</f>
        <v>Low Value</v>
      </c>
      <c r="L112" s="4" t="s">
        <v>23</v>
      </c>
      <c r="M112" s="4" t="s">
        <v>54</v>
      </c>
      <c r="N112" s="4" t="str">
        <f t="shared" si="3"/>
        <v>August</v>
      </c>
      <c r="O112" s="4" t="str">
        <f t="shared" si="4"/>
        <v>Q3</v>
      </c>
      <c r="P112" s="4">
        <f t="shared" si="5"/>
        <v>2025</v>
      </c>
    </row>
    <row r="113" spans="1:16" x14ac:dyDescent="0.25">
      <c r="A113" s="4">
        <v>112</v>
      </c>
      <c r="B113" s="5">
        <v>45720</v>
      </c>
      <c r="C113" s="4" t="s">
        <v>12</v>
      </c>
      <c r="D113" s="4" t="s">
        <v>26</v>
      </c>
      <c r="E113" s="4" t="s">
        <v>163</v>
      </c>
      <c r="F113" s="4" t="s">
        <v>32</v>
      </c>
      <c r="G113" s="4" t="s">
        <v>29</v>
      </c>
      <c r="H113" s="4">
        <v>3</v>
      </c>
      <c r="I113" s="6">
        <v>7000</v>
      </c>
      <c r="J113" s="6">
        <v>21000</v>
      </c>
      <c r="K113" t="str" cm="1">
        <f t="array" ref="K113">_xlfn.IFS(J113&lt;30000,"Low Value",J113&lt;=100000,"Medium Value",J113&gt;100000,"High Value")</f>
        <v>Low Value</v>
      </c>
      <c r="L113" s="4" t="s">
        <v>23</v>
      </c>
      <c r="M113" s="4" t="s">
        <v>24</v>
      </c>
      <c r="N113" s="4" t="str">
        <f t="shared" si="3"/>
        <v>March</v>
      </c>
      <c r="O113" s="4" t="str">
        <f t="shared" si="4"/>
        <v>Q1</v>
      </c>
      <c r="P113" s="4">
        <f t="shared" si="5"/>
        <v>2025</v>
      </c>
    </row>
    <row r="114" spans="1:16" x14ac:dyDescent="0.25">
      <c r="A114" s="4">
        <v>113</v>
      </c>
      <c r="B114" s="5">
        <v>45704</v>
      </c>
      <c r="C114" s="4" t="s">
        <v>19</v>
      </c>
      <c r="D114" s="4" t="s">
        <v>41</v>
      </c>
      <c r="E114" s="4" t="s">
        <v>164</v>
      </c>
      <c r="F114" s="4" t="s">
        <v>47</v>
      </c>
      <c r="G114" s="4" t="s">
        <v>16</v>
      </c>
      <c r="H114" s="4">
        <v>6</v>
      </c>
      <c r="I114" s="6">
        <v>9000</v>
      </c>
      <c r="J114" s="6">
        <v>54000</v>
      </c>
      <c r="K114" t="str" cm="1">
        <f t="array" ref="K114">_xlfn.IFS(J114&lt;30000,"Low Value",J114&lt;=100000,"Medium Value",J114&gt;100000,"High Value")</f>
        <v>Medium Value</v>
      </c>
      <c r="L114" s="4" t="s">
        <v>43</v>
      </c>
      <c r="M114" s="4" t="s">
        <v>24</v>
      </c>
      <c r="N114" s="4" t="str">
        <f t="shared" si="3"/>
        <v>February</v>
      </c>
      <c r="O114" s="4" t="str">
        <f t="shared" si="4"/>
        <v>Q1</v>
      </c>
      <c r="P114" s="4">
        <f t="shared" si="5"/>
        <v>2025</v>
      </c>
    </row>
    <row r="115" spans="1:16" x14ac:dyDescent="0.25">
      <c r="A115" s="4">
        <v>114</v>
      </c>
      <c r="B115" s="5">
        <v>45821</v>
      </c>
      <c r="C115" s="4" t="s">
        <v>25</v>
      </c>
      <c r="D115" s="4" t="s">
        <v>121</v>
      </c>
      <c r="E115" s="4" t="s">
        <v>165</v>
      </c>
      <c r="F115" s="4" t="s">
        <v>28</v>
      </c>
      <c r="G115" s="4" t="s">
        <v>29</v>
      </c>
      <c r="H115" s="4">
        <v>4</v>
      </c>
      <c r="I115" s="6">
        <v>3500</v>
      </c>
      <c r="J115" s="6">
        <v>14000</v>
      </c>
      <c r="K115" t="str" cm="1">
        <f t="array" ref="K115">_xlfn.IFS(J115&lt;30000,"Low Value",J115&lt;=100000,"Medium Value",J115&gt;100000,"High Value")</f>
        <v>Low Value</v>
      </c>
      <c r="L115" s="4" t="s">
        <v>23</v>
      </c>
      <c r="M115" s="4" t="s">
        <v>24</v>
      </c>
      <c r="N115" s="4" t="str">
        <f t="shared" si="3"/>
        <v>June</v>
      </c>
      <c r="O115" s="4" t="str">
        <f t="shared" si="4"/>
        <v>Q2</v>
      </c>
      <c r="P115" s="4">
        <f t="shared" si="5"/>
        <v>2025</v>
      </c>
    </row>
    <row r="116" spans="1:16" x14ac:dyDescent="0.25">
      <c r="A116" s="4">
        <v>115</v>
      </c>
      <c r="B116" s="5">
        <v>45897</v>
      </c>
      <c r="C116" s="4" t="s">
        <v>34</v>
      </c>
      <c r="D116" s="4" t="s">
        <v>36</v>
      </c>
      <c r="E116" s="4" t="s">
        <v>166</v>
      </c>
      <c r="F116" s="4" t="s">
        <v>40</v>
      </c>
      <c r="G116" s="4" t="s">
        <v>16</v>
      </c>
      <c r="H116" s="4">
        <v>4</v>
      </c>
      <c r="I116" s="6">
        <v>500</v>
      </c>
      <c r="J116" s="6">
        <v>2000</v>
      </c>
      <c r="K116" t="str" cm="1">
        <f t="array" ref="K116">_xlfn.IFS(J116&lt;30000,"Low Value",J116&lt;=100000,"Medium Value",J116&gt;100000,"High Value")</f>
        <v>Low Value</v>
      </c>
      <c r="L116" s="4" t="s">
        <v>43</v>
      </c>
      <c r="M116" s="4" t="s">
        <v>24</v>
      </c>
      <c r="N116" s="4" t="str">
        <f t="shared" si="3"/>
        <v>August</v>
      </c>
      <c r="O116" s="4" t="str">
        <f t="shared" si="4"/>
        <v>Q3</v>
      </c>
      <c r="P116" s="4">
        <f t="shared" si="5"/>
        <v>2025</v>
      </c>
    </row>
    <row r="117" spans="1:16" x14ac:dyDescent="0.25">
      <c r="A117" s="4">
        <v>116</v>
      </c>
      <c r="B117" s="5">
        <v>45968</v>
      </c>
      <c r="C117" s="4" t="s">
        <v>25</v>
      </c>
      <c r="D117" s="4" t="s">
        <v>20</v>
      </c>
      <c r="E117" s="4" t="s">
        <v>167</v>
      </c>
      <c r="F117" s="4" t="s">
        <v>47</v>
      </c>
      <c r="G117" s="4" t="s">
        <v>16</v>
      </c>
      <c r="H117" s="4">
        <v>7</v>
      </c>
      <c r="I117" s="6">
        <v>9000</v>
      </c>
      <c r="J117" s="6">
        <v>63000</v>
      </c>
      <c r="K117" t="str" cm="1">
        <f t="array" ref="K117">_xlfn.IFS(J117&lt;30000,"Low Value",J117&lt;=100000,"Medium Value",J117&gt;100000,"High Value")</f>
        <v>Medium Value</v>
      </c>
      <c r="L117" s="4" t="s">
        <v>23</v>
      </c>
      <c r="M117" s="4" t="s">
        <v>24</v>
      </c>
      <c r="N117" s="4" t="str">
        <f t="shared" si="3"/>
        <v>November</v>
      </c>
      <c r="O117" s="4" t="str">
        <f t="shared" si="4"/>
        <v>Q4</v>
      </c>
      <c r="P117" s="4">
        <f t="shared" si="5"/>
        <v>2025</v>
      </c>
    </row>
    <row r="118" spans="1:16" x14ac:dyDescent="0.25">
      <c r="A118" s="4">
        <v>117</v>
      </c>
      <c r="B118" s="5">
        <v>45707</v>
      </c>
      <c r="C118" s="4" t="s">
        <v>48</v>
      </c>
      <c r="D118" s="4" t="s">
        <v>59</v>
      </c>
      <c r="E118" s="4" t="s">
        <v>168</v>
      </c>
      <c r="F118" s="4" t="s">
        <v>32</v>
      </c>
      <c r="G118" s="4" t="s">
        <v>29</v>
      </c>
      <c r="H118" s="4">
        <v>5</v>
      </c>
      <c r="I118" s="6">
        <v>7000</v>
      </c>
      <c r="J118" s="6">
        <v>35000</v>
      </c>
      <c r="K118" t="str" cm="1">
        <f t="array" ref="K118">_xlfn.IFS(J118&lt;30000,"Low Value",J118&lt;=100000,"Medium Value",J118&gt;100000,"High Value")</f>
        <v>Medium Value</v>
      </c>
      <c r="L118" s="4" t="s">
        <v>33</v>
      </c>
      <c r="M118" s="4" t="s">
        <v>54</v>
      </c>
      <c r="N118" s="4" t="str">
        <f t="shared" si="3"/>
        <v>February</v>
      </c>
      <c r="O118" s="4" t="str">
        <f t="shared" si="4"/>
        <v>Q1</v>
      </c>
      <c r="P118" s="4">
        <f t="shared" si="5"/>
        <v>2025</v>
      </c>
    </row>
    <row r="119" spans="1:16" x14ac:dyDescent="0.25">
      <c r="A119" s="4">
        <v>118</v>
      </c>
      <c r="B119" s="5">
        <v>45856</v>
      </c>
      <c r="C119" s="4" t="s">
        <v>19</v>
      </c>
      <c r="D119" s="4" t="s">
        <v>85</v>
      </c>
      <c r="E119" s="4" t="s">
        <v>169</v>
      </c>
      <c r="F119" s="4" t="s">
        <v>32</v>
      </c>
      <c r="G119" s="4" t="s">
        <v>29</v>
      </c>
      <c r="H119" s="4">
        <v>6</v>
      </c>
      <c r="I119" s="6">
        <v>7000</v>
      </c>
      <c r="J119" s="6">
        <v>42000</v>
      </c>
      <c r="K119" t="str" cm="1">
        <f t="array" ref="K119">_xlfn.IFS(J119&lt;30000,"Low Value",J119&lt;=100000,"Medium Value",J119&gt;100000,"High Value")</f>
        <v>Medium Value</v>
      </c>
      <c r="L119" s="4" t="s">
        <v>17</v>
      </c>
      <c r="M119" s="4" t="s">
        <v>24</v>
      </c>
      <c r="N119" s="4" t="str">
        <f t="shared" si="3"/>
        <v>July</v>
      </c>
      <c r="O119" s="4" t="str">
        <f t="shared" si="4"/>
        <v>Q3</v>
      </c>
      <c r="P119" s="4">
        <f t="shared" si="5"/>
        <v>2025</v>
      </c>
    </row>
    <row r="120" spans="1:16" x14ac:dyDescent="0.25">
      <c r="A120" s="4">
        <v>119</v>
      </c>
      <c r="B120" s="5">
        <v>45892</v>
      </c>
      <c r="C120" s="4" t="s">
        <v>12</v>
      </c>
      <c r="D120" s="4" t="s">
        <v>49</v>
      </c>
      <c r="E120" s="4" t="s">
        <v>170</v>
      </c>
      <c r="F120" s="4" t="s">
        <v>32</v>
      </c>
      <c r="G120" s="4" t="s">
        <v>29</v>
      </c>
      <c r="H120" s="4">
        <v>9</v>
      </c>
      <c r="I120" s="6">
        <v>7000</v>
      </c>
      <c r="J120" s="6">
        <v>63000</v>
      </c>
      <c r="K120" t="str" cm="1">
        <f t="array" ref="K120">_xlfn.IFS(J120&lt;30000,"Low Value",J120&lt;=100000,"Medium Value",J120&gt;100000,"High Value")</f>
        <v>Medium Value</v>
      </c>
      <c r="L120" s="4" t="s">
        <v>43</v>
      </c>
      <c r="M120" s="4" t="s">
        <v>24</v>
      </c>
      <c r="N120" s="4" t="str">
        <f t="shared" si="3"/>
        <v>August</v>
      </c>
      <c r="O120" s="4" t="str">
        <f t="shared" si="4"/>
        <v>Q3</v>
      </c>
      <c r="P120" s="4">
        <f t="shared" si="5"/>
        <v>2025</v>
      </c>
    </row>
    <row r="121" spans="1:16" x14ac:dyDescent="0.25">
      <c r="A121" s="4">
        <v>120</v>
      </c>
      <c r="B121" s="5">
        <v>45907</v>
      </c>
      <c r="C121" s="4" t="s">
        <v>19</v>
      </c>
      <c r="D121" s="4" t="s">
        <v>30</v>
      </c>
      <c r="E121" s="4" t="s">
        <v>171</v>
      </c>
      <c r="F121" s="4" t="s">
        <v>32</v>
      </c>
      <c r="G121" s="4" t="s">
        <v>29</v>
      </c>
      <c r="H121" s="4">
        <v>1</v>
      </c>
      <c r="I121" s="6">
        <v>7000</v>
      </c>
      <c r="J121" s="6">
        <v>7000</v>
      </c>
      <c r="K121" t="str" cm="1">
        <f t="array" ref="K121">_xlfn.IFS(J121&lt;30000,"Low Value",J121&lt;=100000,"Medium Value",J121&gt;100000,"High Value")</f>
        <v>Low Value</v>
      </c>
      <c r="L121" s="4" t="s">
        <v>33</v>
      </c>
      <c r="M121" s="4" t="s">
        <v>24</v>
      </c>
      <c r="N121" s="4" t="str">
        <f t="shared" si="3"/>
        <v>September</v>
      </c>
      <c r="O121" s="4" t="str">
        <f t="shared" si="4"/>
        <v>Q3</v>
      </c>
      <c r="P121" s="4">
        <f t="shared" si="5"/>
        <v>2025</v>
      </c>
    </row>
    <row r="122" spans="1:16" x14ac:dyDescent="0.25">
      <c r="A122" s="4">
        <v>121</v>
      </c>
      <c r="B122" s="5">
        <v>45840</v>
      </c>
      <c r="C122" s="4" t="s">
        <v>34</v>
      </c>
      <c r="D122" s="4" t="s">
        <v>59</v>
      </c>
      <c r="E122" s="4" t="s">
        <v>172</v>
      </c>
      <c r="F122" s="4" t="s">
        <v>22</v>
      </c>
      <c r="G122" s="4" t="s">
        <v>16</v>
      </c>
      <c r="H122" s="4">
        <v>7</v>
      </c>
      <c r="I122" s="6">
        <v>1200</v>
      </c>
      <c r="J122" s="6">
        <v>8400</v>
      </c>
      <c r="K122" t="str" cm="1">
        <f t="array" ref="K122">_xlfn.IFS(J122&lt;30000,"Low Value",J122&lt;=100000,"Medium Value",J122&gt;100000,"High Value")</f>
        <v>Low Value</v>
      </c>
      <c r="L122" s="4" t="s">
        <v>33</v>
      </c>
      <c r="M122" s="4" t="s">
        <v>24</v>
      </c>
      <c r="N122" s="4" t="str">
        <f t="shared" si="3"/>
        <v>July</v>
      </c>
      <c r="O122" s="4" t="str">
        <f t="shared" si="4"/>
        <v>Q3</v>
      </c>
      <c r="P122" s="4">
        <f t="shared" si="5"/>
        <v>2025</v>
      </c>
    </row>
    <row r="123" spans="1:16" x14ac:dyDescent="0.25">
      <c r="A123" s="4">
        <v>122</v>
      </c>
      <c r="B123" s="5">
        <v>45929</v>
      </c>
      <c r="C123" s="4" t="s">
        <v>48</v>
      </c>
      <c r="D123" s="4" t="s">
        <v>73</v>
      </c>
      <c r="E123" s="4" t="s">
        <v>173</v>
      </c>
      <c r="F123" s="4" t="s">
        <v>15</v>
      </c>
      <c r="G123" s="4" t="s">
        <v>16</v>
      </c>
      <c r="H123" s="4">
        <v>3</v>
      </c>
      <c r="I123" s="6">
        <v>55000</v>
      </c>
      <c r="J123" s="6">
        <v>165000</v>
      </c>
      <c r="K123" t="str" cm="1">
        <f t="array" ref="K123">_xlfn.IFS(J123&lt;30000,"Low Value",J123&lt;=100000,"Medium Value",J123&gt;100000,"High Value")</f>
        <v>High Value</v>
      </c>
      <c r="L123" s="4" t="s">
        <v>23</v>
      </c>
      <c r="M123" s="4" t="s">
        <v>24</v>
      </c>
      <c r="N123" s="4" t="str">
        <f t="shared" si="3"/>
        <v>September</v>
      </c>
      <c r="O123" s="4" t="str">
        <f t="shared" si="4"/>
        <v>Q3</v>
      </c>
      <c r="P123" s="4">
        <f t="shared" si="5"/>
        <v>2025</v>
      </c>
    </row>
    <row r="124" spans="1:16" x14ac:dyDescent="0.25">
      <c r="A124" s="4">
        <v>123</v>
      </c>
      <c r="B124" s="5">
        <v>45764</v>
      </c>
      <c r="C124" s="4" t="s">
        <v>25</v>
      </c>
      <c r="D124" s="4" t="s">
        <v>36</v>
      </c>
      <c r="E124" s="4" t="s">
        <v>174</v>
      </c>
      <c r="F124" s="4" t="s">
        <v>15</v>
      </c>
      <c r="G124" s="4" t="s">
        <v>16</v>
      </c>
      <c r="H124" s="4">
        <v>8</v>
      </c>
      <c r="I124" s="6">
        <v>55000</v>
      </c>
      <c r="J124" s="6">
        <v>440000</v>
      </c>
      <c r="K124" t="str" cm="1">
        <f t="array" ref="K124">_xlfn.IFS(J124&lt;30000,"Low Value",J124&lt;=100000,"Medium Value",J124&gt;100000,"High Value")</f>
        <v>High Value</v>
      </c>
      <c r="L124" s="4" t="s">
        <v>43</v>
      </c>
      <c r="M124" s="4" t="s">
        <v>24</v>
      </c>
      <c r="N124" s="4" t="str">
        <f t="shared" si="3"/>
        <v>April</v>
      </c>
      <c r="O124" s="4" t="str">
        <f t="shared" si="4"/>
        <v>Q2</v>
      </c>
      <c r="P124" s="4">
        <f t="shared" si="5"/>
        <v>2025</v>
      </c>
    </row>
    <row r="125" spans="1:16" x14ac:dyDescent="0.25">
      <c r="A125" s="4">
        <v>124</v>
      </c>
      <c r="B125" s="5">
        <v>46022</v>
      </c>
      <c r="C125" s="4" t="s">
        <v>25</v>
      </c>
      <c r="D125" s="4" t="s">
        <v>55</v>
      </c>
      <c r="E125" s="4" t="s">
        <v>175</v>
      </c>
      <c r="F125" s="4" t="s">
        <v>22</v>
      </c>
      <c r="G125" s="4" t="s">
        <v>16</v>
      </c>
      <c r="H125" s="4">
        <v>3</v>
      </c>
      <c r="I125" s="6">
        <v>1200</v>
      </c>
      <c r="J125" s="6">
        <v>3600</v>
      </c>
      <c r="K125" t="str" cm="1">
        <f t="array" ref="K125">_xlfn.IFS(J125&lt;30000,"Low Value",J125&lt;=100000,"Medium Value",J125&gt;100000,"High Value")</f>
        <v>Low Value</v>
      </c>
      <c r="L125" s="4" t="s">
        <v>23</v>
      </c>
      <c r="M125" s="4" t="s">
        <v>24</v>
      </c>
      <c r="N125" s="4" t="str">
        <f t="shared" si="3"/>
        <v>December</v>
      </c>
      <c r="O125" s="4" t="str">
        <f t="shared" si="4"/>
        <v>Q4</v>
      </c>
      <c r="P125" s="4">
        <f t="shared" si="5"/>
        <v>2025</v>
      </c>
    </row>
    <row r="126" spans="1:16" x14ac:dyDescent="0.25">
      <c r="A126" s="4">
        <v>125</v>
      </c>
      <c r="B126" s="5">
        <v>45831</v>
      </c>
      <c r="C126" s="4" t="s">
        <v>34</v>
      </c>
      <c r="D126" s="4" t="s">
        <v>20</v>
      </c>
      <c r="E126" s="4" t="s">
        <v>176</v>
      </c>
      <c r="F126" s="4" t="s">
        <v>32</v>
      </c>
      <c r="G126" s="4" t="s">
        <v>29</v>
      </c>
      <c r="H126" s="4">
        <v>2</v>
      </c>
      <c r="I126" s="6">
        <v>7000</v>
      </c>
      <c r="J126" s="6">
        <v>14000</v>
      </c>
      <c r="K126" t="str" cm="1">
        <f t="array" ref="K126">_xlfn.IFS(J126&lt;30000,"Low Value",J126&lt;=100000,"Medium Value",J126&gt;100000,"High Value")</f>
        <v>Low Value</v>
      </c>
      <c r="L126" s="4" t="s">
        <v>33</v>
      </c>
      <c r="M126" s="4" t="s">
        <v>54</v>
      </c>
      <c r="N126" s="4" t="str">
        <f t="shared" si="3"/>
        <v>June</v>
      </c>
      <c r="O126" s="4" t="str">
        <f t="shared" si="4"/>
        <v>Q2</v>
      </c>
      <c r="P126" s="4">
        <f t="shared" si="5"/>
        <v>2025</v>
      </c>
    </row>
    <row r="127" spans="1:16" x14ac:dyDescent="0.25">
      <c r="A127" s="4">
        <v>126</v>
      </c>
      <c r="B127" s="5">
        <v>45888</v>
      </c>
      <c r="C127" s="4" t="s">
        <v>34</v>
      </c>
      <c r="D127" s="4" t="s">
        <v>73</v>
      </c>
      <c r="E127" s="4" t="s">
        <v>177</v>
      </c>
      <c r="F127" s="4" t="s">
        <v>47</v>
      </c>
      <c r="G127" s="4" t="s">
        <v>16</v>
      </c>
      <c r="H127" s="4">
        <v>1</v>
      </c>
      <c r="I127" s="6">
        <v>9000</v>
      </c>
      <c r="J127" s="6">
        <v>9000</v>
      </c>
      <c r="K127" t="str" cm="1">
        <f t="array" ref="K127">_xlfn.IFS(J127&lt;30000,"Low Value",J127&lt;=100000,"Medium Value",J127&gt;100000,"High Value")</f>
        <v>Low Value</v>
      </c>
      <c r="L127" s="4" t="s">
        <v>23</v>
      </c>
      <c r="M127" s="4" t="s">
        <v>24</v>
      </c>
      <c r="N127" s="4" t="str">
        <f t="shared" si="3"/>
        <v>August</v>
      </c>
      <c r="O127" s="4" t="str">
        <f t="shared" si="4"/>
        <v>Q3</v>
      </c>
      <c r="P127" s="4">
        <f t="shared" si="5"/>
        <v>2025</v>
      </c>
    </row>
    <row r="128" spans="1:16" x14ac:dyDescent="0.25">
      <c r="A128" s="4">
        <v>127</v>
      </c>
      <c r="B128" s="5">
        <v>45855</v>
      </c>
      <c r="C128" s="4" t="s">
        <v>12</v>
      </c>
      <c r="D128" s="4" t="s">
        <v>49</v>
      </c>
      <c r="E128" s="4" t="s">
        <v>178</v>
      </c>
      <c r="F128" s="4" t="s">
        <v>15</v>
      </c>
      <c r="G128" s="4" t="s">
        <v>16</v>
      </c>
      <c r="H128" s="4">
        <v>4</v>
      </c>
      <c r="I128" s="6">
        <v>55000</v>
      </c>
      <c r="J128" s="6">
        <v>220000</v>
      </c>
      <c r="K128" t="str" cm="1">
        <f t="array" ref="K128">_xlfn.IFS(J128&lt;30000,"Low Value",J128&lt;=100000,"Medium Value",J128&gt;100000,"High Value")</f>
        <v>High Value</v>
      </c>
      <c r="L128" s="4" t="s">
        <v>17</v>
      </c>
      <c r="M128" s="4" t="s">
        <v>18</v>
      </c>
      <c r="N128" s="4" t="str">
        <f t="shared" si="3"/>
        <v>July</v>
      </c>
      <c r="O128" s="4" t="str">
        <f t="shared" si="4"/>
        <v>Q3</v>
      </c>
      <c r="P128" s="4">
        <f t="shared" si="5"/>
        <v>2025</v>
      </c>
    </row>
    <row r="129" spans="1:16" x14ac:dyDescent="0.25">
      <c r="A129" s="4">
        <v>128</v>
      </c>
      <c r="B129" s="5">
        <v>45728</v>
      </c>
      <c r="C129" s="4" t="s">
        <v>34</v>
      </c>
      <c r="D129" s="4" t="s">
        <v>20</v>
      </c>
      <c r="E129" s="4" t="s">
        <v>179</v>
      </c>
      <c r="F129" s="4" t="s">
        <v>15</v>
      </c>
      <c r="G129" s="4" t="s">
        <v>16</v>
      </c>
      <c r="H129" s="4">
        <v>9</v>
      </c>
      <c r="I129" s="6">
        <v>55000</v>
      </c>
      <c r="J129" s="6">
        <v>495000</v>
      </c>
      <c r="K129" t="str" cm="1">
        <f t="array" ref="K129">_xlfn.IFS(J129&lt;30000,"Low Value",J129&lt;=100000,"Medium Value",J129&gt;100000,"High Value")</f>
        <v>High Value</v>
      </c>
      <c r="L129" s="4" t="s">
        <v>17</v>
      </c>
      <c r="M129" s="4" t="s">
        <v>24</v>
      </c>
      <c r="N129" s="4" t="str">
        <f t="shared" si="3"/>
        <v>March</v>
      </c>
      <c r="O129" s="4" t="str">
        <f t="shared" si="4"/>
        <v>Q1</v>
      </c>
      <c r="P129" s="4">
        <f t="shared" si="5"/>
        <v>2025</v>
      </c>
    </row>
    <row r="130" spans="1:16" x14ac:dyDescent="0.25">
      <c r="A130" s="4">
        <v>129</v>
      </c>
      <c r="B130" s="5">
        <v>45796</v>
      </c>
      <c r="C130" s="4" t="s">
        <v>34</v>
      </c>
      <c r="D130" s="4" t="s">
        <v>13</v>
      </c>
      <c r="E130" s="4" t="s">
        <v>180</v>
      </c>
      <c r="F130" s="4" t="s">
        <v>15</v>
      </c>
      <c r="G130" s="4" t="s">
        <v>16</v>
      </c>
      <c r="H130" s="4">
        <v>7</v>
      </c>
      <c r="I130" s="6">
        <v>55000</v>
      </c>
      <c r="J130" s="6">
        <v>385000</v>
      </c>
      <c r="K130" t="str" cm="1">
        <f t="array" ref="K130">_xlfn.IFS(J130&lt;30000,"Low Value",J130&lt;=100000,"Medium Value",J130&gt;100000,"High Value")</f>
        <v>High Value</v>
      </c>
      <c r="L130" s="4" t="s">
        <v>43</v>
      </c>
      <c r="M130" s="4" t="s">
        <v>18</v>
      </c>
      <c r="N130" s="4" t="str">
        <f t="shared" si="3"/>
        <v>May</v>
      </c>
      <c r="O130" s="4" t="str">
        <f t="shared" si="4"/>
        <v>Q2</v>
      </c>
      <c r="P130" s="4">
        <f t="shared" si="5"/>
        <v>2025</v>
      </c>
    </row>
    <row r="131" spans="1:16" x14ac:dyDescent="0.25">
      <c r="A131" s="4">
        <v>130</v>
      </c>
      <c r="B131" s="5">
        <v>45925</v>
      </c>
      <c r="C131" s="4" t="s">
        <v>19</v>
      </c>
      <c r="D131" s="4" t="s">
        <v>30</v>
      </c>
      <c r="E131" s="4" t="s">
        <v>181</v>
      </c>
      <c r="F131" s="4" t="s">
        <v>32</v>
      </c>
      <c r="G131" s="4" t="s">
        <v>29</v>
      </c>
      <c r="H131" s="4">
        <v>7</v>
      </c>
      <c r="I131" s="6">
        <v>7000</v>
      </c>
      <c r="J131" s="6">
        <v>49000</v>
      </c>
      <c r="K131" t="str" cm="1">
        <f t="array" ref="K131">_xlfn.IFS(J131&lt;30000,"Low Value",J131&lt;=100000,"Medium Value",J131&gt;100000,"High Value")</f>
        <v>Medium Value</v>
      </c>
      <c r="L131" s="4" t="s">
        <v>43</v>
      </c>
      <c r="M131" s="4" t="s">
        <v>24</v>
      </c>
      <c r="N131" s="4" t="str">
        <f t="shared" ref="N131:N194" si="6">TEXT(B131,"MMMM")</f>
        <v>September</v>
      </c>
      <c r="O131" s="4" t="str">
        <f t="shared" ref="O131:O194" si="7">"Q"&amp;ROUNDUP(MONTH(B131)/3,0)</f>
        <v>Q3</v>
      </c>
      <c r="P131" s="4">
        <f t="shared" ref="P131:P194" si="8">YEAR(B:B)</f>
        <v>2025</v>
      </c>
    </row>
    <row r="132" spans="1:16" x14ac:dyDescent="0.25">
      <c r="A132" s="4">
        <v>131</v>
      </c>
      <c r="B132" s="5">
        <v>45699</v>
      </c>
      <c r="C132" s="4" t="s">
        <v>12</v>
      </c>
      <c r="D132" s="4" t="s">
        <v>92</v>
      </c>
      <c r="E132" s="4" t="s">
        <v>182</v>
      </c>
      <c r="F132" s="4" t="s">
        <v>28</v>
      </c>
      <c r="G132" s="4" t="s">
        <v>29</v>
      </c>
      <c r="H132" s="4">
        <v>6</v>
      </c>
      <c r="I132" s="6">
        <v>3500</v>
      </c>
      <c r="J132" s="6">
        <v>21000</v>
      </c>
      <c r="K132" t="str" cm="1">
        <f t="array" ref="K132">_xlfn.IFS(J132&lt;30000,"Low Value",J132&lt;=100000,"Medium Value",J132&gt;100000,"High Value")</f>
        <v>Low Value</v>
      </c>
      <c r="L132" s="4" t="s">
        <v>43</v>
      </c>
      <c r="M132" s="4" t="s">
        <v>24</v>
      </c>
      <c r="N132" s="4" t="str">
        <f t="shared" si="6"/>
        <v>February</v>
      </c>
      <c r="O132" s="4" t="str">
        <f t="shared" si="7"/>
        <v>Q1</v>
      </c>
      <c r="P132" s="4">
        <f t="shared" si="8"/>
        <v>2025</v>
      </c>
    </row>
    <row r="133" spans="1:16" x14ac:dyDescent="0.25">
      <c r="A133" s="4">
        <v>132</v>
      </c>
      <c r="B133" s="5">
        <v>45704</v>
      </c>
      <c r="C133" s="4" t="s">
        <v>48</v>
      </c>
      <c r="D133" s="4" t="s">
        <v>13</v>
      </c>
      <c r="E133" s="4" t="s">
        <v>183</v>
      </c>
      <c r="F133" s="4" t="s">
        <v>40</v>
      </c>
      <c r="G133" s="4" t="s">
        <v>16</v>
      </c>
      <c r="H133" s="4">
        <v>7</v>
      </c>
      <c r="I133" s="6">
        <v>500</v>
      </c>
      <c r="J133" s="6">
        <v>3500</v>
      </c>
      <c r="K133" t="str" cm="1">
        <f t="array" ref="K133">_xlfn.IFS(J133&lt;30000,"Low Value",J133&lt;=100000,"Medium Value",J133&gt;100000,"High Value")</f>
        <v>Low Value</v>
      </c>
      <c r="L133" s="4" t="s">
        <v>23</v>
      </c>
      <c r="M133" s="4" t="s">
        <v>24</v>
      </c>
      <c r="N133" s="4" t="str">
        <f t="shared" si="6"/>
        <v>February</v>
      </c>
      <c r="O133" s="4" t="str">
        <f t="shared" si="7"/>
        <v>Q1</v>
      </c>
      <c r="P133" s="4">
        <f t="shared" si="8"/>
        <v>2025</v>
      </c>
    </row>
    <row r="134" spans="1:16" x14ac:dyDescent="0.25">
      <c r="A134" s="4">
        <v>133</v>
      </c>
      <c r="B134" s="5">
        <v>45911</v>
      </c>
      <c r="C134" s="4" t="s">
        <v>19</v>
      </c>
      <c r="D134" s="4" t="s">
        <v>26</v>
      </c>
      <c r="E134" s="4" t="s">
        <v>184</v>
      </c>
      <c r="F134" s="4" t="s">
        <v>40</v>
      </c>
      <c r="G134" s="4" t="s">
        <v>16</v>
      </c>
      <c r="H134" s="4">
        <v>8</v>
      </c>
      <c r="I134" s="6">
        <v>500</v>
      </c>
      <c r="J134" s="6">
        <v>4000</v>
      </c>
      <c r="K134" t="str" cm="1">
        <f t="array" ref="K134">_xlfn.IFS(J134&lt;30000,"Low Value",J134&lt;=100000,"Medium Value",J134&gt;100000,"High Value")</f>
        <v>Low Value</v>
      </c>
      <c r="L134" s="4" t="s">
        <v>17</v>
      </c>
      <c r="M134" s="4" t="s">
        <v>24</v>
      </c>
      <c r="N134" s="4" t="str">
        <f t="shared" si="6"/>
        <v>September</v>
      </c>
      <c r="O134" s="4" t="str">
        <f t="shared" si="7"/>
        <v>Q3</v>
      </c>
      <c r="P134" s="4">
        <f t="shared" si="8"/>
        <v>2025</v>
      </c>
    </row>
    <row r="135" spans="1:16" x14ac:dyDescent="0.25">
      <c r="A135" s="4">
        <v>134</v>
      </c>
      <c r="B135" s="5">
        <v>45842</v>
      </c>
      <c r="C135" s="4" t="s">
        <v>25</v>
      </c>
      <c r="D135" s="4" t="s">
        <v>30</v>
      </c>
      <c r="E135" s="4" t="s">
        <v>185</v>
      </c>
      <c r="F135" s="4" t="s">
        <v>47</v>
      </c>
      <c r="G135" s="4" t="s">
        <v>16</v>
      </c>
      <c r="H135" s="4">
        <v>2</v>
      </c>
      <c r="I135" s="6">
        <v>9000</v>
      </c>
      <c r="J135" s="6">
        <v>18000</v>
      </c>
      <c r="K135" t="str" cm="1">
        <f t="array" ref="K135">_xlfn.IFS(J135&lt;30000,"Low Value",J135&lt;=100000,"Medium Value",J135&gt;100000,"High Value")</f>
        <v>Low Value</v>
      </c>
      <c r="L135" s="4" t="s">
        <v>33</v>
      </c>
      <c r="M135" s="4" t="s">
        <v>54</v>
      </c>
      <c r="N135" s="4" t="str">
        <f t="shared" si="6"/>
        <v>July</v>
      </c>
      <c r="O135" s="4" t="str">
        <f t="shared" si="7"/>
        <v>Q3</v>
      </c>
      <c r="P135" s="4">
        <f t="shared" si="8"/>
        <v>2025</v>
      </c>
    </row>
    <row r="136" spans="1:16" x14ac:dyDescent="0.25">
      <c r="A136" s="4">
        <v>135</v>
      </c>
      <c r="B136" s="5">
        <v>45854</v>
      </c>
      <c r="C136" s="4" t="s">
        <v>48</v>
      </c>
      <c r="D136" s="4" t="s">
        <v>66</v>
      </c>
      <c r="E136" s="4" t="s">
        <v>186</v>
      </c>
      <c r="F136" s="4" t="s">
        <v>28</v>
      </c>
      <c r="G136" s="4" t="s">
        <v>29</v>
      </c>
      <c r="H136" s="4">
        <v>6</v>
      </c>
      <c r="I136" s="6">
        <v>3500</v>
      </c>
      <c r="J136" s="6">
        <v>21000</v>
      </c>
      <c r="K136" t="str" cm="1">
        <f t="array" ref="K136">_xlfn.IFS(J136&lt;30000,"Low Value",J136&lt;=100000,"Medium Value",J136&gt;100000,"High Value")</f>
        <v>Low Value</v>
      </c>
      <c r="L136" s="4" t="s">
        <v>43</v>
      </c>
      <c r="M136" s="4" t="s">
        <v>24</v>
      </c>
      <c r="N136" s="4" t="str">
        <f t="shared" si="6"/>
        <v>July</v>
      </c>
      <c r="O136" s="4" t="str">
        <f t="shared" si="7"/>
        <v>Q3</v>
      </c>
      <c r="P136" s="4">
        <f t="shared" si="8"/>
        <v>2025</v>
      </c>
    </row>
    <row r="137" spans="1:16" x14ac:dyDescent="0.25">
      <c r="A137" s="4">
        <v>136</v>
      </c>
      <c r="B137" s="5">
        <v>45804</v>
      </c>
      <c r="C137" s="4" t="s">
        <v>19</v>
      </c>
      <c r="D137" s="4" t="s">
        <v>71</v>
      </c>
      <c r="E137" s="4" t="s">
        <v>187</v>
      </c>
      <c r="F137" s="4" t="s">
        <v>32</v>
      </c>
      <c r="G137" s="4" t="s">
        <v>29</v>
      </c>
      <c r="H137" s="4">
        <v>1</v>
      </c>
      <c r="I137" s="6">
        <v>7000</v>
      </c>
      <c r="J137" s="6">
        <v>7000</v>
      </c>
      <c r="K137" t="str" cm="1">
        <f t="array" ref="K137">_xlfn.IFS(J137&lt;30000,"Low Value",J137&lt;=100000,"Medium Value",J137&gt;100000,"High Value")</f>
        <v>Low Value</v>
      </c>
      <c r="L137" s="4" t="s">
        <v>17</v>
      </c>
      <c r="M137" s="4" t="s">
        <v>24</v>
      </c>
      <c r="N137" s="4" t="str">
        <f t="shared" si="6"/>
        <v>May</v>
      </c>
      <c r="O137" s="4" t="str">
        <f t="shared" si="7"/>
        <v>Q2</v>
      </c>
      <c r="P137" s="4">
        <f t="shared" si="8"/>
        <v>2025</v>
      </c>
    </row>
    <row r="138" spans="1:16" x14ac:dyDescent="0.25">
      <c r="A138" s="4">
        <v>137</v>
      </c>
      <c r="B138" s="5">
        <v>45669</v>
      </c>
      <c r="C138" s="4" t="s">
        <v>25</v>
      </c>
      <c r="D138" s="4" t="s">
        <v>73</v>
      </c>
      <c r="E138" s="4" t="s">
        <v>188</v>
      </c>
      <c r="F138" s="4" t="s">
        <v>15</v>
      </c>
      <c r="G138" s="4" t="s">
        <v>16</v>
      </c>
      <c r="H138" s="4">
        <v>5</v>
      </c>
      <c r="I138" s="6">
        <v>55000</v>
      </c>
      <c r="J138" s="6">
        <v>275000</v>
      </c>
      <c r="K138" t="str" cm="1">
        <f t="array" ref="K138">_xlfn.IFS(J138&lt;30000,"Low Value",J138&lt;=100000,"Medium Value",J138&gt;100000,"High Value")</f>
        <v>High Value</v>
      </c>
      <c r="L138" s="4" t="s">
        <v>33</v>
      </c>
      <c r="M138" s="4" t="s">
        <v>24</v>
      </c>
      <c r="N138" s="4" t="str">
        <f t="shared" si="6"/>
        <v>January</v>
      </c>
      <c r="O138" s="4" t="str">
        <f t="shared" si="7"/>
        <v>Q1</v>
      </c>
      <c r="P138" s="4">
        <f t="shared" si="8"/>
        <v>2025</v>
      </c>
    </row>
    <row r="139" spans="1:16" x14ac:dyDescent="0.25">
      <c r="A139" s="4">
        <v>138</v>
      </c>
      <c r="B139" s="5">
        <v>45987</v>
      </c>
      <c r="C139" s="4" t="s">
        <v>12</v>
      </c>
      <c r="D139" s="4" t="s">
        <v>92</v>
      </c>
      <c r="E139" s="4" t="s">
        <v>189</v>
      </c>
      <c r="F139" s="4" t="s">
        <v>28</v>
      </c>
      <c r="G139" s="4" t="s">
        <v>29</v>
      </c>
      <c r="H139" s="4">
        <v>6</v>
      </c>
      <c r="I139" s="6">
        <v>3500</v>
      </c>
      <c r="J139" s="6">
        <v>21000</v>
      </c>
      <c r="K139" t="str" cm="1">
        <f t="array" ref="K139">_xlfn.IFS(J139&lt;30000,"Low Value",J139&lt;=100000,"Medium Value",J139&gt;100000,"High Value")</f>
        <v>Low Value</v>
      </c>
      <c r="L139" s="4" t="s">
        <v>17</v>
      </c>
      <c r="M139" s="4" t="s">
        <v>24</v>
      </c>
      <c r="N139" s="4" t="str">
        <f t="shared" si="6"/>
        <v>November</v>
      </c>
      <c r="O139" s="4" t="str">
        <f t="shared" si="7"/>
        <v>Q4</v>
      </c>
      <c r="P139" s="4">
        <f t="shared" si="8"/>
        <v>2025</v>
      </c>
    </row>
    <row r="140" spans="1:16" x14ac:dyDescent="0.25">
      <c r="A140" s="4">
        <v>139</v>
      </c>
      <c r="B140" s="5">
        <v>45775</v>
      </c>
      <c r="C140" s="4" t="s">
        <v>34</v>
      </c>
      <c r="D140" s="4" t="s">
        <v>13</v>
      </c>
      <c r="E140" s="4" t="s">
        <v>190</v>
      </c>
      <c r="F140" s="4" t="s">
        <v>22</v>
      </c>
      <c r="G140" s="4" t="s">
        <v>16</v>
      </c>
      <c r="H140" s="4">
        <v>3</v>
      </c>
      <c r="I140" s="6">
        <v>1200</v>
      </c>
      <c r="J140" s="6">
        <v>3600</v>
      </c>
      <c r="K140" t="str" cm="1">
        <f t="array" ref="K140">_xlfn.IFS(J140&lt;30000,"Low Value",J140&lt;=100000,"Medium Value",J140&gt;100000,"High Value")</f>
        <v>Low Value</v>
      </c>
      <c r="L140" s="4" t="s">
        <v>23</v>
      </c>
      <c r="M140" s="4" t="s">
        <v>24</v>
      </c>
      <c r="N140" s="4" t="str">
        <f t="shared" si="6"/>
        <v>April</v>
      </c>
      <c r="O140" s="4" t="str">
        <f t="shared" si="7"/>
        <v>Q2</v>
      </c>
      <c r="P140" s="4">
        <f t="shared" si="8"/>
        <v>2025</v>
      </c>
    </row>
    <row r="141" spans="1:16" x14ac:dyDescent="0.25">
      <c r="A141" s="4">
        <v>140</v>
      </c>
      <c r="B141" s="5">
        <v>45701</v>
      </c>
      <c r="C141" s="4" t="s">
        <v>19</v>
      </c>
      <c r="D141" s="4" t="s">
        <v>13</v>
      </c>
      <c r="E141" s="4" t="s">
        <v>191</v>
      </c>
      <c r="F141" s="4" t="s">
        <v>32</v>
      </c>
      <c r="G141" s="4" t="s">
        <v>29</v>
      </c>
      <c r="H141" s="4">
        <v>1</v>
      </c>
      <c r="I141" s="6">
        <v>7000</v>
      </c>
      <c r="J141" s="6">
        <v>7000</v>
      </c>
      <c r="K141" t="str" cm="1">
        <f t="array" ref="K141">_xlfn.IFS(J141&lt;30000,"Low Value",J141&lt;=100000,"Medium Value",J141&gt;100000,"High Value")</f>
        <v>Low Value</v>
      </c>
      <c r="L141" s="4" t="s">
        <v>33</v>
      </c>
      <c r="M141" s="4" t="s">
        <v>54</v>
      </c>
      <c r="N141" s="4" t="str">
        <f t="shared" si="6"/>
        <v>February</v>
      </c>
      <c r="O141" s="4" t="str">
        <f t="shared" si="7"/>
        <v>Q1</v>
      </c>
      <c r="P141" s="4">
        <f t="shared" si="8"/>
        <v>2025</v>
      </c>
    </row>
    <row r="142" spans="1:16" x14ac:dyDescent="0.25">
      <c r="A142" s="4">
        <v>141</v>
      </c>
      <c r="B142" s="5">
        <v>45974</v>
      </c>
      <c r="C142" s="4" t="s">
        <v>48</v>
      </c>
      <c r="D142" s="4" t="s">
        <v>66</v>
      </c>
      <c r="E142" s="4" t="s">
        <v>192</v>
      </c>
      <c r="F142" s="4" t="s">
        <v>28</v>
      </c>
      <c r="G142" s="4" t="s">
        <v>29</v>
      </c>
      <c r="H142" s="4">
        <v>1</v>
      </c>
      <c r="I142" s="6">
        <v>3500</v>
      </c>
      <c r="J142" s="6">
        <v>3500</v>
      </c>
      <c r="K142" t="str" cm="1">
        <f t="array" ref="K142">_xlfn.IFS(J142&lt;30000,"Low Value",J142&lt;=100000,"Medium Value",J142&gt;100000,"High Value")</f>
        <v>Low Value</v>
      </c>
      <c r="L142" s="4" t="s">
        <v>33</v>
      </c>
      <c r="M142" s="4" t="s">
        <v>18</v>
      </c>
      <c r="N142" s="4" t="str">
        <f t="shared" si="6"/>
        <v>November</v>
      </c>
      <c r="O142" s="4" t="str">
        <f t="shared" si="7"/>
        <v>Q4</v>
      </c>
      <c r="P142" s="4">
        <f t="shared" si="8"/>
        <v>2025</v>
      </c>
    </row>
    <row r="143" spans="1:16" x14ac:dyDescent="0.25">
      <c r="A143" s="4">
        <v>142</v>
      </c>
      <c r="B143" s="5">
        <v>45980</v>
      </c>
      <c r="C143" s="4" t="s">
        <v>34</v>
      </c>
      <c r="D143" s="4" t="s">
        <v>73</v>
      </c>
      <c r="E143" s="4" t="s">
        <v>193</v>
      </c>
      <c r="F143" s="4" t="s">
        <v>22</v>
      </c>
      <c r="G143" s="4" t="s">
        <v>16</v>
      </c>
      <c r="H143" s="4">
        <v>8</v>
      </c>
      <c r="I143" s="6">
        <v>1200</v>
      </c>
      <c r="J143" s="6">
        <v>9600</v>
      </c>
      <c r="K143" t="str" cm="1">
        <f t="array" ref="K143">_xlfn.IFS(J143&lt;30000,"Low Value",J143&lt;=100000,"Medium Value",J143&gt;100000,"High Value")</f>
        <v>Low Value</v>
      </c>
      <c r="L143" s="4" t="s">
        <v>43</v>
      </c>
      <c r="M143" s="4" t="s">
        <v>24</v>
      </c>
      <c r="N143" s="4" t="str">
        <f t="shared" si="6"/>
        <v>November</v>
      </c>
      <c r="O143" s="4" t="str">
        <f t="shared" si="7"/>
        <v>Q4</v>
      </c>
      <c r="P143" s="4">
        <f t="shared" si="8"/>
        <v>2025</v>
      </c>
    </row>
    <row r="144" spans="1:16" x14ac:dyDescent="0.25">
      <c r="A144" s="4">
        <v>143</v>
      </c>
      <c r="B144" s="5">
        <v>45854</v>
      </c>
      <c r="C144" s="4" t="s">
        <v>25</v>
      </c>
      <c r="D144" s="4" t="s">
        <v>55</v>
      </c>
      <c r="E144" s="4" t="s">
        <v>194</v>
      </c>
      <c r="F144" s="4" t="s">
        <v>28</v>
      </c>
      <c r="G144" s="4" t="s">
        <v>29</v>
      </c>
      <c r="H144" s="4">
        <v>1</v>
      </c>
      <c r="I144" s="6">
        <v>3500</v>
      </c>
      <c r="J144" s="6">
        <v>3500</v>
      </c>
      <c r="K144" t="str" cm="1">
        <f t="array" ref="K144">_xlfn.IFS(J144&lt;30000,"Low Value",J144&lt;=100000,"Medium Value",J144&gt;100000,"High Value")</f>
        <v>Low Value</v>
      </c>
      <c r="L144" s="4" t="s">
        <v>33</v>
      </c>
      <c r="M144" s="4" t="s">
        <v>24</v>
      </c>
      <c r="N144" s="4" t="str">
        <f t="shared" si="6"/>
        <v>July</v>
      </c>
      <c r="O144" s="4" t="str">
        <f t="shared" si="7"/>
        <v>Q3</v>
      </c>
      <c r="P144" s="4">
        <f t="shared" si="8"/>
        <v>2025</v>
      </c>
    </row>
    <row r="145" spans="1:16" x14ac:dyDescent="0.25">
      <c r="A145" s="4">
        <v>144</v>
      </c>
      <c r="B145" s="5">
        <v>45959</v>
      </c>
      <c r="C145" s="4" t="s">
        <v>34</v>
      </c>
      <c r="D145" s="4" t="s">
        <v>26</v>
      </c>
      <c r="E145" s="4" t="s">
        <v>195</v>
      </c>
      <c r="F145" s="4" t="s">
        <v>32</v>
      </c>
      <c r="G145" s="4" t="s">
        <v>29</v>
      </c>
      <c r="H145" s="4">
        <v>9</v>
      </c>
      <c r="I145" s="6">
        <v>7000</v>
      </c>
      <c r="J145" s="6">
        <v>63000</v>
      </c>
      <c r="K145" t="str" cm="1">
        <f t="array" ref="K145">_xlfn.IFS(J145&lt;30000,"Low Value",J145&lt;=100000,"Medium Value",J145&gt;100000,"High Value")</f>
        <v>Medium Value</v>
      </c>
      <c r="L145" s="4" t="s">
        <v>23</v>
      </c>
      <c r="M145" s="4" t="s">
        <v>24</v>
      </c>
      <c r="N145" s="4" t="str">
        <f t="shared" si="6"/>
        <v>October</v>
      </c>
      <c r="O145" s="4" t="str">
        <f t="shared" si="7"/>
        <v>Q4</v>
      </c>
      <c r="P145" s="4">
        <f t="shared" si="8"/>
        <v>2025</v>
      </c>
    </row>
    <row r="146" spans="1:16" x14ac:dyDescent="0.25">
      <c r="A146" s="4">
        <v>145</v>
      </c>
      <c r="B146" s="5">
        <v>45792</v>
      </c>
      <c r="C146" s="4" t="s">
        <v>34</v>
      </c>
      <c r="D146" s="4" t="s">
        <v>64</v>
      </c>
      <c r="E146" s="4" t="s">
        <v>196</v>
      </c>
      <c r="F146" s="4" t="s">
        <v>22</v>
      </c>
      <c r="G146" s="4" t="s">
        <v>16</v>
      </c>
      <c r="H146" s="4">
        <v>4</v>
      </c>
      <c r="I146" s="6">
        <v>1200</v>
      </c>
      <c r="J146" s="6">
        <v>4800</v>
      </c>
      <c r="K146" t="str" cm="1">
        <f t="array" ref="K146">_xlfn.IFS(J146&lt;30000,"Low Value",J146&lt;=100000,"Medium Value",J146&gt;100000,"High Value")</f>
        <v>Low Value</v>
      </c>
      <c r="L146" s="4" t="s">
        <v>43</v>
      </c>
      <c r="M146" s="4" t="s">
        <v>24</v>
      </c>
      <c r="N146" s="4" t="str">
        <f t="shared" si="6"/>
        <v>May</v>
      </c>
      <c r="O146" s="4" t="str">
        <f t="shared" si="7"/>
        <v>Q2</v>
      </c>
      <c r="P146" s="4">
        <f t="shared" si="8"/>
        <v>2025</v>
      </c>
    </row>
    <row r="147" spans="1:16" x14ac:dyDescent="0.25">
      <c r="A147" s="4">
        <v>146</v>
      </c>
      <c r="B147" s="5">
        <v>45730</v>
      </c>
      <c r="C147" s="4" t="s">
        <v>34</v>
      </c>
      <c r="D147" s="4" t="s">
        <v>73</v>
      </c>
      <c r="E147" s="4" t="s">
        <v>197</v>
      </c>
      <c r="F147" s="4" t="s">
        <v>47</v>
      </c>
      <c r="G147" s="4" t="s">
        <v>16</v>
      </c>
      <c r="H147" s="4">
        <v>2</v>
      </c>
      <c r="I147" s="6">
        <v>9000</v>
      </c>
      <c r="J147" s="6">
        <v>18000</v>
      </c>
      <c r="K147" t="str" cm="1">
        <f t="array" ref="K147">_xlfn.IFS(J147&lt;30000,"Low Value",J147&lt;=100000,"Medium Value",J147&gt;100000,"High Value")</f>
        <v>Low Value</v>
      </c>
      <c r="L147" s="4" t="s">
        <v>23</v>
      </c>
      <c r="M147" s="4" t="s">
        <v>24</v>
      </c>
      <c r="N147" s="4" t="str">
        <f t="shared" si="6"/>
        <v>March</v>
      </c>
      <c r="O147" s="4" t="str">
        <f t="shared" si="7"/>
        <v>Q1</v>
      </c>
      <c r="P147" s="4">
        <f t="shared" si="8"/>
        <v>2025</v>
      </c>
    </row>
    <row r="148" spans="1:16" x14ac:dyDescent="0.25">
      <c r="A148" s="4">
        <v>147</v>
      </c>
      <c r="B148" s="5">
        <v>45813</v>
      </c>
      <c r="C148" s="4" t="s">
        <v>34</v>
      </c>
      <c r="D148" s="4" t="s">
        <v>41</v>
      </c>
      <c r="E148" s="4" t="s">
        <v>198</v>
      </c>
      <c r="F148" s="4" t="s">
        <v>28</v>
      </c>
      <c r="G148" s="4" t="s">
        <v>29</v>
      </c>
      <c r="H148" s="4">
        <v>10</v>
      </c>
      <c r="I148" s="6">
        <v>3500</v>
      </c>
      <c r="J148" s="6">
        <v>35000</v>
      </c>
      <c r="K148" t="str" cm="1">
        <f t="array" ref="K148">_xlfn.IFS(J148&lt;30000,"Low Value",J148&lt;=100000,"Medium Value",J148&gt;100000,"High Value")</f>
        <v>Medium Value</v>
      </c>
      <c r="L148" s="4" t="s">
        <v>17</v>
      </c>
      <c r="M148" s="4" t="s">
        <v>54</v>
      </c>
      <c r="N148" s="4" t="str">
        <f t="shared" si="6"/>
        <v>June</v>
      </c>
      <c r="O148" s="4" t="str">
        <f t="shared" si="7"/>
        <v>Q2</v>
      </c>
      <c r="P148" s="4">
        <f t="shared" si="8"/>
        <v>2025</v>
      </c>
    </row>
    <row r="149" spans="1:16" x14ac:dyDescent="0.25">
      <c r="A149" s="4">
        <v>148</v>
      </c>
      <c r="B149" s="5">
        <v>45949</v>
      </c>
      <c r="C149" s="4" t="s">
        <v>25</v>
      </c>
      <c r="D149" s="4" t="s">
        <v>55</v>
      </c>
      <c r="E149" s="4" t="s">
        <v>199</v>
      </c>
      <c r="F149" s="4" t="s">
        <v>47</v>
      </c>
      <c r="G149" s="4" t="s">
        <v>16</v>
      </c>
      <c r="H149" s="4">
        <v>1</v>
      </c>
      <c r="I149" s="6">
        <v>9000</v>
      </c>
      <c r="J149" s="6">
        <v>9000</v>
      </c>
      <c r="K149" t="str" cm="1">
        <f t="array" ref="K149">_xlfn.IFS(J149&lt;30000,"Low Value",J149&lt;=100000,"Medium Value",J149&gt;100000,"High Value")</f>
        <v>Low Value</v>
      </c>
      <c r="L149" s="4" t="s">
        <v>43</v>
      </c>
      <c r="M149" s="4" t="s">
        <v>24</v>
      </c>
      <c r="N149" s="4" t="str">
        <f t="shared" si="6"/>
        <v>October</v>
      </c>
      <c r="O149" s="4" t="str">
        <f t="shared" si="7"/>
        <v>Q4</v>
      </c>
      <c r="P149" s="4">
        <f t="shared" si="8"/>
        <v>2025</v>
      </c>
    </row>
    <row r="150" spans="1:16" x14ac:dyDescent="0.25">
      <c r="A150" s="4">
        <v>149</v>
      </c>
      <c r="B150" s="5">
        <v>45663</v>
      </c>
      <c r="C150" s="4" t="s">
        <v>19</v>
      </c>
      <c r="D150" s="4" t="s">
        <v>13</v>
      </c>
      <c r="E150" s="4" t="s">
        <v>200</v>
      </c>
      <c r="F150" s="4" t="s">
        <v>40</v>
      </c>
      <c r="G150" s="4" t="s">
        <v>16</v>
      </c>
      <c r="H150" s="4">
        <v>9</v>
      </c>
      <c r="I150" s="6">
        <v>500</v>
      </c>
      <c r="J150" s="6">
        <v>4500</v>
      </c>
      <c r="K150" t="str" cm="1">
        <f t="array" ref="K150">_xlfn.IFS(J150&lt;30000,"Low Value",J150&lt;=100000,"Medium Value",J150&gt;100000,"High Value")</f>
        <v>Low Value</v>
      </c>
      <c r="L150" s="4" t="s">
        <v>43</v>
      </c>
      <c r="M150" s="4" t="s">
        <v>24</v>
      </c>
      <c r="N150" s="4" t="str">
        <f t="shared" si="6"/>
        <v>January</v>
      </c>
      <c r="O150" s="4" t="str">
        <f t="shared" si="7"/>
        <v>Q1</v>
      </c>
      <c r="P150" s="4">
        <f t="shared" si="8"/>
        <v>2025</v>
      </c>
    </row>
    <row r="151" spans="1:16" x14ac:dyDescent="0.25">
      <c r="A151" s="4">
        <v>150</v>
      </c>
      <c r="B151" s="5">
        <v>45903</v>
      </c>
      <c r="C151" s="4" t="s">
        <v>12</v>
      </c>
      <c r="D151" s="4" t="s">
        <v>64</v>
      </c>
      <c r="E151" s="4" t="s">
        <v>201</v>
      </c>
      <c r="F151" s="4" t="s">
        <v>40</v>
      </c>
      <c r="G151" s="4" t="s">
        <v>16</v>
      </c>
      <c r="H151" s="4">
        <v>10</v>
      </c>
      <c r="I151" s="6">
        <v>500</v>
      </c>
      <c r="J151" s="6">
        <v>5000</v>
      </c>
      <c r="K151" t="str" cm="1">
        <f t="array" ref="K151">_xlfn.IFS(J151&lt;30000,"Low Value",J151&lt;=100000,"Medium Value",J151&gt;100000,"High Value")</f>
        <v>Low Value</v>
      </c>
      <c r="L151" s="4" t="s">
        <v>17</v>
      </c>
      <c r="M151" s="4" t="s">
        <v>54</v>
      </c>
      <c r="N151" s="4" t="str">
        <f t="shared" si="6"/>
        <v>September</v>
      </c>
      <c r="O151" s="4" t="str">
        <f t="shared" si="7"/>
        <v>Q3</v>
      </c>
      <c r="P151" s="4">
        <f t="shared" si="8"/>
        <v>2025</v>
      </c>
    </row>
    <row r="152" spans="1:16" x14ac:dyDescent="0.25">
      <c r="A152" s="4">
        <v>151</v>
      </c>
      <c r="B152" s="5">
        <v>45805</v>
      </c>
      <c r="C152" s="4" t="s">
        <v>25</v>
      </c>
      <c r="D152" s="4" t="s">
        <v>20</v>
      </c>
      <c r="E152" s="4" t="s">
        <v>202</v>
      </c>
      <c r="F152" s="4" t="s">
        <v>28</v>
      </c>
      <c r="G152" s="4" t="s">
        <v>29</v>
      </c>
      <c r="H152" s="4">
        <v>2</v>
      </c>
      <c r="I152" s="6">
        <v>3500</v>
      </c>
      <c r="J152" s="6">
        <v>7000</v>
      </c>
      <c r="K152" t="str" cm="1">
        <f t="array" ref="K152">_xlfn.IFS(J152&lt;30000,"Low Value",J152&lt;=100000,"Medium Value",J152&gt;100000,"High Value")</f>
        <v>Low Value</v>
      </c>
      <c r="L152" s="4" t="s">
        <v>17</v>
      </c>
      <c r="M152" s="4" t="s">
        <v>24</v>
      </c>
      <c r="N152" s="4" t="str">
        <f t="shared" si="6"/>
        <v>May</v>
      </c>
      <c r="O152" s="4" t="str">
        <f t="shared" si="7"/>
        <v>Q2</v>
      </c>
      <c r="P152" s="4">
        <f t="shared" si="8"/>
        <v>2025</v>
      </c>
    </row>
    <row r="153" spans="1:16" x14ac:dyDescent="0.25">
      <c r="A153" s="4">
        <v>152</v>
      </c>
      <c r="B153" s="5">
        <v>45803</v>
      </c>
      <c r="C153" s="4" t="s">
        <v>19</v>
      </c>
      <c r="D153" s="4" t="s">
        <v>13</v>
      </c>
      <c r="E153" s="4" t="s">
        <v>203</v>
      </c>
      <c r="F153" s="4" t="s">
        <v>47</v>
      </c>
      <c r="G153" s="4" t="s">
        <v>16</v>
      </c>
      <c r="H153" s="4">
        <v>6</v>
      </c>
      <c r="I153" s="6">
        <v>9000</v>
      </c>
      <c r="J153" s="6">
        <v>54000</v>
      </c>
      <c r="K153" t="str" cm="1">
        <f t="array" ref="K153">_xlfn.IFS(J153&lt;30000,"Low Value",J153&lt;=100000,"Medium Value",J153&gt;100000,"High Value")</f>
        <v>Medium Value</v>
      </c>
      <c r="L153" s="4" t="s">
        <v>17</v>
      </c>
      <c r="M153" s="4" t="s">
        <v>24</v>
      </c>
      <c r="N153" s="4" t="str">
        <f t="shared" si="6"/>
        <v>May</v>
      </c>
      <c r="O153" s="4" t="str">
        <f t="shared" si="7"/>
        <v>Q2</v>
      </c>
      <c r="P153" s="4">
        <f t="shared" si="8"/>
        <v>2025</v>
      </c>
    </row>
    <row r="154" spans="1:16" x14ac:dyDescent="0.25">
      <c r="A154" s="4">
        <v>153</v>
      </c>
      <c r="B154" s="5">
        <v>45668</v>
      </c>
      <c r="C154" s="4" t="s">
        <v>12</v>
      </c>
      <c r="D154" s="4" t="s">
        <v>92</v>
      </c>
      <c r="E154" s="4" t="s">
        <v>204</v>
      </c>
      <c r="F154" s="4" t="s">
        <v>22</v>
      </c>
      <c r="G154" s="4" t="s">
        <v>16</v>
      </c>
      <c r="H154" s="4">
        <v>5</v>
      </c>
      <c r="I154" s="6">
        <v>1200</v>
      </c>
      <c r="J154" s="6">
        <v>6000</v>
      </c>
      <c r="K154" t="str" cm="1">
        <f t="array" ref="K154">_xlfn.IFS(J154&lt;30000,"Low Value",J154&lt;=100000,"Medium Value",J154&gt;100000,"High Value")</f>
        <v>Low Value</v>
      </c>
      <c r="L154" s="4" t="s">
        <v>23</v>
      </c>
      <c r="M154" s="4" t="s">
        <v>24</v>
      </c>
      <c r="N154" s="4" t="str">
        <f t="shared" si="6"/>
        <v>January</v>
      </c>
      <c r="O154" s="4" t="str">
        <f t="shared" si="7"/>
        <v>Q1</v>
      </c>
      <c r="P154" s="4">
        <f t="shared" si="8"/>
        <v>2025</v>
      </c>
    </row>
    <row r="155" spans="1:16" x14ac:dyDescent="0.25">
      <c r="A155" s="4">
        <v>154</v>
      </c>
      <c r="B155" s="5">
        <v>45823</v>
      </c>
      <c r="C155" s="4" t="s">
        <v>48</v>
      </c>
      <c r="D155" s="4" t="s">
        <v>59</v>
      </c>
      <c r="E155" s="4" t="s">
        <v>205</v>
      </c>
      <c r="F155" s="4" t="s">
        <v>22</v>
      </c>
      <c r="G155" s="4" t="s">
        <v>16</v>
      </c>
      <c r="H155" s="4">
        <v>6</v>
      </c>
      <c r="I155" s="6">
        <v>1200</v>
      </c>
      <c r="J155" s="6">
        <v>7200</v>
      </c>
      <c r="K155" t="str" cm="1">
        <f t="array" ref="K155">_xlfn.IFS(J155&lt;30000,"Low Value",J155&lt;=100000,"Medium Value",J155&gt;100000,"High Value")</f>
        <v>Low Value</v>
      </c>
      <c r="L155" s="4" t="s">
        <v>43</v>
      </c>
      <c r="M155" s="4" t="s">
        <v>24</v>
      </c>
      <c r="N155" s="4" t="str">
        <f t="shared" si="6"/>
        <v>June</v>
      </c>
      <c r="O155" s="4" t="str">
        <f t="shared" si="7"/>
        <v>Q2</v>
      </c>
      <c r="P155" s="4">
        <f t="shared" si="8"/>
        <v>2025</v>
      </c>
    </row>
    <row r="156" spans="1:16" x14ac:dyDescent="0.25">
      <c r="A156" s="4">
        <v>155</v>
      </c>
      <c r="B156" s="5">
        <v>45948</v>
      </c>
      <c r="C156" s="4" t="s">
        <v>25</v>
      </c>
      <c r="D156" s="4" t="s">
        <v>26</v>
      </c>
      <c r="E156" s="4" t="s">
        <v>206</v>
      </c>
      <c r="F156" s="4" t="s">
        <v>32</v>
      </c>
      <c r="G156" s="4" t="s">
        <v>29</v>
      </c>
      <c r="H156" s="4">
        <v>6</v>
      </c>
      <c r="I156" s="6">
        <v>7000</v>
      </c>
      <c r="J156" s="6">
        <v>42000</v>
      </c>
      <c r="K156" t="str" cm="1">
        <f t="array" ref="K156">_xlfn.IFS(J156&lt;30000,"Low Value",J156&lt;=100000,"Medium Value",J156&gt;100000,"High Value")</f>
        <v>Medium Value</v>
      </c>
      <c r="L156" s="4" t="s">
        <v>33</v>
      </c>
      <c r="M156" s="4" t="s">
        <v>24</v>
      </c>
      <c r="N156" s="4" t="str">
        <f t="shared" si="6"/>
        <v>October</v>
      </c>
      <c r="O156" s="4" t="str">
        <f t="shared" si="7"/>
        <v>Q4</v>
      </c>
      <c r="P156" s="4">
        <f t="shared" si="8"/>
        <v>2025</v>
      </c>
    </row>
    <row r="157" spans="1:16" x14ac:dyDescent="0.25">
      <c r="A157" s="4">
        <v>156</v>
      </c>
      <c r="B157" s="5">
        <v>45812</v>
      </c>
      <c r="C157" s="4" t="s">
        <v>19</v>
      </c>
      <c r="D157" s="4" t="s">
        <v>121</v>
      </c>
      <c r="E157" s="4" t="s">
        <v>207</v>
      </c>
      <c r="F157" s="4" t="s">
        <v>28</v>
      </c>
      <c r="G157" s="4" t="s">
        <v>29</v>
      </c>
      <c r="H157" s="4">
        <v>9</v>
      </c>
      <c r="I157" s="6">
        <v>3500</v>
      </c>
      <c r="J157" s="6">
        <v>31500</v>
      </c>
      <c r="K157" t="str" cm="1">
        <f t="array" ref="K157">_xlfn.IFS(J157&lt;30000,"Low Value",J157&lt;=100000,"Medium Value",J157&gt;100000,"High Value")</f>
        <v>Medium Value</v>
      </c>
      <c r="L157" s="4" t="s">
        <v>23</v>
      </c>
      <c r="M157" s="4" t="s">
        <v>24</v>
      </c>
      <c r="N157" s="4" t="str">
        <f t="shared" si="6"/>
        <v>June</v>
      </c>
      <c r="O157" s="4" t="str">
        <f t="shared" si="7"/>
        <v>Q2</v>
      </c>
      <c r="P157" s="4">
        <f t="shared" si="8"/>
        <v>2025</v>
      </c>
    </row>
    <row r="158" spans="1:16" x14ac:dyDescent="0.25">
      <c r="A158" s="4">
        <v>157</v>
      </c>
      <c r="B158" s="5">
        <v>45975</v>
      </c>
      <c r="C158" s="4" t="s">
        <v>34</v>
      </c>
      <c r="D158" s="4" t="s">
        <v>44</v>
      </c>
      <c r="E158" s="4" t="s">
        <v>208</v>
      </c>
      <c r="F158" s="4" t="s">
        <v>47</v>
      </c>
      <c r="G158" s="4" t="s">
        <v>16</v>
      </c>
      <c r="H158" s="4">
        <v>1</v>
      </c>
      <c r="I158" s="6">
        <v>9000</v>
      </c>
      <c r="J158" s="6">
        <v>9000</v>
      </c>
      <c r="K158" t="str" cm="1">
        <f t="array" ref="K158">_xlfn.IFS(J158&lt;30000,"Low Value",J158&lt;=100000,"Medium Value",J158&gt;100000,"High Value")</f>
        <v>Low Value</v>
      </c>
      <c r="L158" s="4" t="s">
        <v>17</v>
      </c>
      <c r="M158" s="4" t="s">
        <v>24</v>
      </c>
      <c r="N158" s="4" t="str">
        <f t="shared" si="6"/>
        <v>November</v>
      </c>
      <c r="O158" s="4" t="str">
        <f t="shared" si="7"/>
        <v>Q4</v>
      </c>
      <c r="P158" s="4">
        <f t="shared" si="8"/>
        <v>2025</v>
      </c>
    </row>
    <row r="159" spans="1:16" x14ac:dyDescent="0.25">
      <c r="A159" s="4">
        <v>158</v>
      </c>
      <c r="B159" s="5">
        <v>45751</v>
      </c>
      <c r="C159" s="4" t="s">
        <v>12</v>
      </c>
      <c r="D159" s="4" t="s">
        <v>121</v>
      </c>
      <c r="E159" s="4" t="s">
        <v>209</v>
      </c>
      <c r="F159" s="4" t="s">
        <v>32</v>
      </c>
      <c r="G159" s="4" t="s">
        <v>29</v>
      </c>
      <c r="H159" s="4">
        <v>10</v>
      </c>
      <c r="I159" s="6">
        <v>7000</v>
      </c>
      <c r="J159" s="6">
        <v>70000</v>
      </c>
      <c r="K159" t="str" cm="1">
        <f t="array" ref="K159">_xlfn.IFS(J159&lt;30000,"Low Value",J159&lt;=100000,"Medium Value",J159&gt;100000,"High Value")</f>
        <v>Medium Value</v>
      </c>
      <c r="L159" s="4" t="s">
        <v>17</v>
      </c>
      <c r="M159" s="4" t="s">
        <v>24</v>
      </c>
      <c r="N159" s="4" t="str">
        <f t="shared" si="6"/>
        <v>April</v>
      </c>
      <c r="O159" s="4" t="str">
        <f t="shared" si="7"/>
        <v>Q2</v>
      </c>
      <c r="P159" s="4">
        <f t="shared" si="8"/>
        <v>2025</v>
      </c>
    </row>
    <row r="160" spans="1:16" x14ac:dyDescent="0.25">
      <c r="A160" s="4">
        <v>159</v>
      </c>
      <c r="B160" s="5">
        <v>45855</v>
      </c>
      <c r="C160" s="4" t="s">
        <v>48</v>
      </c>
      <c r="D160" s="4" t="s">
        <v>20</v>
      </c>
      <c r="E160" s="4" t="s">
        <v>210</v>
      </c>
      <c r="F160" s="4" t="s">
        <v>32</v>
      </c>
      <c r="G160" s="4" t="s">
        <v>29</v>
      </c>
      <c r="H160" s="4">
        <v>5</v>
      </c>
      <c r="I160" s="6">
        <v>7000</v>
      </c>
      <c r="J160" s="6">
        <v>35000</v>
      </c>
      <c r="K160" t="str" cm="1">
        <f t="array" ref="K160">_xlfn.IFS(J160&lt;30000,"Low Value",J160&lt;=100000,"Medium Value",J160&gt;100000,"High Value")</f>
        <v>Medium Value</v>
      </c>
      <c r="L160" s="4" t="s">
        <v>43</v>
      </c>
      <c r="M160" s="4" t="s">
        <v>24</v>
      </c>
      <c r="N160" s="4" t="str">
        <f t="shared" si="6"/>
        <v>July</v>
      </c>
      <c r="O160" s="4" t="str">
        <f t="shared" si="7"/>
        <v>Q3</v>
      </c>
      <c r="P160" s="4">
        <f t="shared" si="8"/>
        <v>2025</v>
      </c>
    </row>
    <row r="161" spans="1:16" x14ac:dyDescent="0.25">
      <c r="A161" s="4">
        <v>160</v>
      </c>
      <c r="B161" s="5">
        <v>45920</v>
      </c>
      <c r="C161" s="4" t="s">
        <v>25</v>
      </c>
      <c r="D161" s="4" t="s">
        <v>59</v>
      </c>
      <c r="E161" s="4" t="s">
        <v>211</v>
      </c>
      <c r="F161" s="4" t="s">
        <v>32</v>
      </c>
      <c r="G161" s="4" t="s">
        <v>29</v>
      </c>
      <c r="H161" s="4">
        <v>10</v>
      </c>
      <c r="I161" s="6">
        <v>7000</v>
      </c>
      <c r="J161" s="6">
        <v>70000</v>
      </c>
      <c r="K161" t="str" cm="1">
        <f t="array" ref="K161">_xlfn.IFS(J161&lt;30000,"Low Value",J161&lt;=100000,"Medium Value",J161&gt;100000,"High Value")</f>
        <v>Medium Value</v>
      </c>
      <c r="L161" s="4" t="s">
        <v>17</v>
      </c>
      <c r="M161" s="4" t="s">
        <v>24</v>
      </c>
      <c r="N161" s="4" t="str">
        <f t="shared" si="6"/>
        <v>September</v>
      </c>
      <c r="O161" s="4" t="str">
        <f t="shared" si="7"/>
        <v>Q3</v>
      </c>
      <c r="P161" s="4">
        <f t="shared" si="8"/>
        <v>2025</v>
      </c>
    </row>
    <row r="162" spans="1:16" x14ac:dyDescent="0.25">
      <c r="A162" s="4">
        <v>161</v>
      </c>
      <c r="B162" s="5">
        <v>45707</v>
      </c>
      <c r="C162" s="4" t="s">
        <v>48</v>
      </c>
      <c r="D162" s="4" t="s">
        <v>121</v>
      </c>
      <c r="E162" s="4" t="s">
        <v>212</v>
      </c>
      <c r="F162" s="4" t="s">
        <v>32</v>
      </c>
      <c r="G162" s="4" t="s">
        <v>29</v>
      </c>
      <c r="H162" s="4">
        <v>7</v>
      </c>
      <c r="I162" s="6">
        <v>7000</v>
      </c>
      <c r="J162" s="6">
        <v>49000</v>
      </c>
      <c r="K162" t="str" cm="1">
        <f t="array" ref="K162">_xlfn.IFS(J162&lt;30000,"Low Value",J162&lt;=100000,"Medium Value",J162&gt;100000,"High Value")</f>
        <v>Medium Value</v>
      </c>
      <c r="L162" s="4" t="s">
        <v>33</v>
      </c>
      <c r="M162" s="4" t="s">
        <v>18</v>
      </c>
      <c r="N162" s="4" t="str">
        <f t="shared" si="6"/>
        <v>February</v>
      </c>
      <c r="O162" s="4" t="str">
        <f t="shared" si="7"/>
        <v>Q1</v>
      </c>
      <c r="P162" s="4">
        <f t="shared" si="8"/>
        <v>2025</v>
      </c>
    </row>
    <row r="163" spans="1:16" x14ac:dyDescent="0.25">
      <c r="A163" s="4">
        <v>162</v>
      </c>
      <c r="B163" s="5">
        <v>46022</v>
      </c>
      <c r="C163" s="4" t="s">
        <v>25</v>
      </c>
      <c r="D163" s="4" t="s">
        <v>49</v>
      </c>
      <c r="E163" s="4" t="s">
        <v>213</v>
      </c>
      <c r="F163" s="4" t="s">
        <v>40</v>
      </c>
      <c r="G163" s="4" t="s">
        <v>16</v>
      </c>
      <c r="H163" s="4">
        <v>3</v>
      </c>
      <c r="I163" s="6">
        <v>500</v>
      </c>
      <c r="J163" s="6">
        <v>1500</v>
      </c>
      <c r="K163" t="str" cm="1">
        <f t="array" ref="K163">_xlfn.IFS(J163&lt;30000,"Low Value",J163&lt;=100000,"Medium Value",J163&gt;100000,"High Value")</f>
        <v>Low Value</v>
      </c>
      <c r="L163" s="4" t="s">
        <v>43</v>
      </c>
      <c r="M163" s="4" t="s">
        <v>24</v>
      </c>
      <c r="N163" s="4" t="str">
        <f t="shared" si="6"/>
        <v>December</v>
      </c>
      <c r="O163" s="4" t="str">
        <f t="shared" si="7"/>
        <v>Q4</v>
      </c>
      <c r="P163" s="4">
        <f t="shared" si="8"/>
        <v>2025</v>
      </c>
    </row>
    <row r="164" spans="1:16" x14ac:dyDescent="0.25">
      <c r="A164" s="4">
        <v>163</v>
      </c>
      <c r="B164" s="5">
        <v>45680</v>
      </c>
      <c r="C164" s="4" t="s">
        <v>48</v>
      </c>
      <c r="D164" s="4" t="s">
        <v>44</v>
      </c>
      <c r="E164" s="4" t="s">
        <v>214</v>
      </c>
      <c r="F164" s="4" t="s">
        <v>40</v>
      </c>
      <c r="G164" s="4" t="s">
        <v>16</v>
      </c>
      <c r="H164" s="4">
        <v>2</v>
      </c>
      <c r="I164" s="6">
        <v>500</v>
      </c>
      <c r="J164" s="6">
        <v>1000</v>
      </c>
      <c r="K164" t="str" cm="1">
        <f t="array" ref="K164">_xlfn.IFS(J164&lt;30000,"Low Value",J164&lt;=100000,"Medium Value",J164&gt;100000,"High Value")</f>
        <v>Low Value</v>
      </c>
      <c r="L164" s="4" t="s">
        <v>23</v>
      </c>
      <c r="M164" s="4" t="s">
        <v>24</v>
      </c>
      <c r="N164" s="4" t="str">
        <f t="shared" si="6"/>
        <v>January</v>
      </c>
      <c r="O164" s="4" t="str">
        <f t="shared" si="7"/>
        <v>Q1</v>
      </c>
      <c r="P164" s="4">
        <f t="shared" si="8"/>
        <v>2025</v>
      </c>
    </row>
    <row r="165" spans="1:16" x14ac:dyDescent="0.25">
      <c r="A165" s="4">
        <v>164</v>
      </c>
      <c r="B165" s="5">
        <v>45859</v>
      </c>
      <c r="C165" s="4" t="s">
        <v>12</v>
      </c>
      <c r="D165" s="4" t="s">
        <v>85</v>
      </c>
      <c r="E165" s="4" t="s">
        <v>215</v>
      </c>
      <c r="F165" s="4" t="s">
        <v>32</v>
      </c>
      <c r="G165" s="4" t="s">
        <v>29</v>
      </c>
      <c r="H165" s="4">
        <v>1</v>
      </c>
      <c r="I165" s="6">
        <v>7000</v>
      </c>
      <c r="J165" s="6">
        <v>7000</v>
      </c>
      <c r="K165" t="str" cm="1">
        <f t="array" ref="K165">_xlfn.IFS(J165&lt;30000,"Low Value",J165&lt;=100000,"Medium Value",J165&gt;100000,"High Value")</f>
        <v>Low Value</v>
      </c>
      <c r="L165" s="4" t="s">
        <v>43</v>
      </c>
      <c r="M165" s="4" t="s">
        <v>24</v>
      </c>
      <c r="N165" s="4" t="str">
        <f t="shared" si="6"/>
        <v>July</v>
      </c>
      <c r="O165" s="4" t="str">
        <f t="shared" si="7"/>
        <v>Q3</v>
      </c>
      <c r="P165" s="4">
        <f t="shared" si="8"/>
        <v>2025</v>
      </c>
    </row>
    <row r="166" spans="1:16" x14ac:dyDescent="0.25">
      <c r="A166" s="4">
        <v>165</v>
      </c>
      <c r="B166" s="5">
        <v>45711</v>
      </c>
      <c r="C166" s="4" t="s">
        <v>34</v>
      </c>
      <c r="D166" s="4" t="s">
        <v>49</v>
      </c>
      <c r="E166" s="4" t="s">
        <v>216</v>
      </c>
      <c r="F166" s="4" t="s">
        <v>32</v>
      </c>
      <c r="G166" s="4" t="s">
        <v>29</v>
      </c>
      <c r="H166" s="4">
        <v>6</v>
      </c>
      <c r="I166" s="6">
        <v>7000</v>
      </c>
      <c r="J166" s="6">
        <v>42000</v>
      </c>
      <c r="K166" t="str" cm="1">
        <f t="array" ref="K166">_xlfn.IFS(J166&lt;30000,"Low Value",J166&lt;=100000,"Medium Value",J166&gt;100000,"High Value")</f>
        <v>Medium Value</v>
      </c>
      <c r="L166" s="4" t="s">
        <v>23</v>
      </c>
      <c r="M166" s="4" t="s">
        <v>54</v>
      </c>
      <c r="N166" s="4" t="str">
        <f t="shared" si="6"/>
        <v>February</v>
      </c>
      <c r="O166" s="4" t="str">
        <f t="shared" si="7"/>
        <v>Q1</v>
      </c>
      <c r="P166" s="4">
        <f t="shared" si="8"/>
        <v>2025</v>
      </c>
    </row>
    <row r="167" spans="1:16" x14ac:dyDescent="0.25">
      <c r="A167" s="4">
        <v>166</v>
      </c>
      <c r="B167" s="5">
        <v>45786</v>
      </c>
      <c r="C167" s="4" t="s">
        <v>34</v>
      </c>
      <c r="D167" s="4" t="s">
        <v>55</v>
      </c>
      <c r="E167" s="4" t="s">
        <v>217</v>
      </c>
      <c r="F167" s="4" t="s">
        <v>28</v>
      </c>
      <c r="G167" s="4" t="s">
        <v>29</v>
      </c>
      <c r="H167" s="4">
        <v>6</v>
      </c>
      <c r="I167" s="6">
        <v>3500</v>
      </c>
      <c r="J167" s="6">
        <v>21000</v>
      </c>
      <c r="K167" t="str" cm="1">
        <f t="array" ref="K167">_xlfn.IFS(J167&lt;30000,"Low Value",J167&lt;=100000,"Medium Value",J167&gt;100000,"High Value")</f>
        <v>Low Value</v>
      </c>
      <c r="L167" s="4" t="s">
        <v>33</v>
      </c>
      <c r="M167" s="4" t="s">
        <v>24</v>
      </c>
      <c r="N167" s="4" t="str">
        <f t="shared" si="6"/>
        <v>May</v>
      </c>
      <c r="O167" s="4" t="str">
        <f t="shared" si="7"/>
        <v>Q2</v>
      </c>
      <c r="P167" s="4">
        <f t="shared" si="8"/>
        <v>2025</v>
      </c>
    </row>
    <row r="168" spans="1:16" x14ac:dyDescent="0.25">
      <c r="A168" s="4">
        <v>167</v>
      </c>
      <c r="B168" s="5">
        <v>45867</v>
      </c>
      <c r="C168" s="4" t="s">
        <v>34</v>
      </c>
      <c r="D168" s="4" t="s">
        <v>71</v>
      </c>
      <c r="E168" s="4" t="s">
        <v>218</v>
      </c>
      <c r="F168" s="4" t="s">
        <v>15</v>
      </c>
      <c r="G168" s="4" t="s">
        <v>16</v>
      </c>
      <c r="H168" s="4">
        <v>5</v>
      </c>
      <c r="I168" s="6">
        <v>55000</v>
      </c>
      <c r="J168" s="6">
        <v>275000</v>
      </c>
      <c r="K168" t="str" cm="1">
        <f t="array" ref="K168">_xlfn.IFS(J168&lt;30000,"Low Value",J168&lt;=100000,"Medium Value",J168&gt;100000,"High Value")</f>
        <v>High Value</v>
      </c>
      <c r="L168" s="4" t="s">
        <v>43</v>
      </c>
      <c r="M168" s="4" t="s">
        <v>24</v>
      </c>
      <c r="N168" s="4" t="str">
        <f t="shared" si="6"/>
        <v>July</v>
      </c>
      <c r="O168" s="4" t="str">
        <f t="shared" si="7"/>
        <v>Q3</v>
      </c>
      <c r="P168" s="4">
        <f t="shared" si="8"/>
        <v>2025</v>
      </c>
    </row>
    <row r="169" spans="1:16" x14ac:dyDescent="0.25">
      <c r="A169" s="4">
        <v>168</v>
      </c>
      <c r="B169" s="5">
        <v>45951</v>
      </c>
      <c r="C169" s="4" t="s">
        <v>48</v>
      </c>
      <c r="D169" s="4" t="s">
        <v>71</v>
      </c>
      <c r="E169" s="4" t="s">
        <v>219</v>
      </c>
      <c r="F169" s="4" t="s">
        <v>22</v>
      </c>
      <c r="G169" s="4" t="s">
        <v>16</v>
      </c>
      <c r="H169" s="4">
        <v>1</v>
      </c>
      <c r="I169" s="6">
        <v>1200</v>
      </c>
      <c r="J169" s="6">
        <v>1200</v>
      </c>
      <c r="K169" t="str" cm="1">
        <f t="array" ref="K169">_xlfn.IFS(J169&lt;30000,"Low Value",J169&lt;=100000,"Medium Value",J169&gt;100000,"High Value")</f>
        <v>Low Value</v>
      </c>
      <c r="L169" s="4" t="s">
        <v>17</v>
      </c>
      <c r="M169" s="4" t="s">
        <v>24</v>
      </c>
      <c r="N169" s="4" t="str">
        <f t="shared" si="6"/>
        <v>October</v>
      </c>
      <c r="O169" s="4" t="str">
        <f t="shared" si="7"/>
        <v>Q4</v>
      </c>
      <c r="P169" s="4">
        <f t="shared" si="8"/>
        <v>2025</v>
      </c>
    </row>
    <row r="170" spans="1:16" x14ac:dyDescent="0.25">
      <c r="A170" s="4">
        <v>169</v>
      </c>
      <c r="B170" s="5">
        <v>45914</v>
      </c>
      <c r="C170" s="4" t="s">
        <v>12</v>
      </c>
      <c r="D170" s="4" t="s">
        <v>20</v>
      </c>
      <c r="E170" s="4" t="s">
        <v>220</v>
      </c>
      <c r="F170" s="4" t="s">
        <v>32</v>
      </c>
      <c r="G170" s="4" t="s">
        <v>29</v>
      </c>
      <c r="H170" s="4">
        <v>5</v>
      </c>
      <c r="I170" s="6">
        <v>7000</v>
      </c>
      <c r="J170" s="6">
        <v>35000</v>
      </c>
      <c r="K170" t="str" cm="1">
        <f t="array" ref="K170">_xlfn.IFS(J170&lt;30000,"Low Value",J170&lt;=100000,"Medium Value",J170&gt;100000,"High Value")</f>
        <v>Medium Value</v>
      </c>
      <c r="L170" s="4" t="s">
        <v>33</v>
      </c>
      <c r="M170" s="4" t="s">
        <v>24</v>
      </c>
      <c r="N170" s="4" t="str">
        <f t="shared" si="6"/>
        <v>September</v>
      </c>
      <c r="O170" s="4" t="str">
        <f t="shared" si="7"/>
        <v>Q3</v>
      </c>
      <c r="P170" s="4">
        <f t="shared" si="8"/>
        <v>2025</v>
      </c>
    </row>
    <row r="171" spans="1:16" x14ac:dyDescent="0.25">
      <c r="A171" s="4">
        <v>170</v>
      </c>
      <c r="B171" s="5">
        <v>45908</v>
      </c>
      <c r="C171" s="4" t="s">
        <v>48</v>
      </c>
      <c r="D171" s="4" t="s">
        <v>55</v>
      </c>
      <c r="E171" s="4" t="s">
        <v>221</v>
      </c>
      <c r="F171" s="4" t="s">
        <v>32</v>
      </c>
      <c r="G171" s="4" t="s">
        <v>29</v>
      </c>
      <c r="H171" s="4">
        <v>3</v>
      </c>
      <c r="I171" s="6">
        <v>7000</v>
      </c>
      <c r="J171" s="6">
        <v>21000</v>
      </c>
      <c r="K171" t="str" cm="1">
        <f t="array" ref="K171">_xlfn.IFS(J171&lt;30000,"Low Value",J171&lt;=100000,"Medium Value",J171&gt;100000,"High Value")</f>
        <v>Low Value</v>
      </c>
      <c r="L171" s="4" t="s">
        <v>17</v>
      </c>
      <c r="M171" s="4" t="s">
        <v>24</v>
      </c>
      <c r="N171" s="4" t="str">
        <f t="shared" si="6"/>
        <v>September</v>
      </c>
      <c r="O171" s="4" t="str">
        <f t="shared" si="7"/>
        <v>Q3</v>
      </c>
      <c r="P171" s="4">
        <f t="shared" si="8"/>
        <v>2025</v>
      </c>
    </row>
    <row r="172" spans="1:16" x14ac:dyDescent="0.25">
      <c r="A172" s="4">
        <v>171</v>
      </c>
      <c r="B172" s="5">
        <v>45675</v>
      </c>
      <c r="C172" s="4" t="s">
        <v>48</v>
      </c>
      <c r="D172" s="4" t="s">
        <v>30</v>
      </c>
      <c r="E172" s="4" t="s">
        <v>222</v>
      </c>
      <c r="F172" s="4" t="s">
        <v>32</v>
      </c>
      <c r="G172" s="4" t="s">
        <v>29</v>
      </c>
      <c r="H172" s="4">
        <v>5</v>
      </c>
      <c r="I172" s="6">
        <v>7000</v>
      </c>
      <c r="J172" s="6">
        <v>35000</v>
      </c>
      <c r="K172" t="str" cm="1">
        <f t="array" ref="K172">_xlfn.IFS(J172&lt;30000,"Low Value",J172&lt;=100000,"Medium Value",J172&gt;100000,"High Value")</f>
        <v>Medium Value</v>
      </c>
      <c r="L172" s="4" t="s">
        <v>17</v>
      </c>
      <c r="M172" s="4" t="s">
        <v>24</v>
      </c>
      <c r="N172" s="4" t="str">
        <f t="shared" si="6"/>
        <v>January</v>
      </c>
      <c r="O172" s="4" t="str">
        <f t="shared" si="7"/>
        <v>Q1</v>
      </c>
      <c r="P172" s="4">
        <f t="shared" si="8"/>
        <v>2025</v>
      </c>
    </row>
    <row r="173" spans="1:16" x14ac:dyDescent="0.25">
      <c r="A173" s="4">
        <v>172</v>
      </c>
      <c r="B173" s="5">
        <v>45904</v>
      </c>
      <c r="C173" s="4" t="s">
        <v>48</v>
      </c>
      <c r="D173" s="4" t="s">
        <v>97</v>
      </c>
      <c r="E173" s="4" t="s">
        <v>223</v>
      </c>
      <c r="F173" s="4" t="s">
        <v>28</v>
      </c>
      <c r="G173" s="4" t="s">
        <v>29</v>
      </c>
      <c r="H173" s="4">
        <v>2</v>
      </c>
      <c r="I173" s="6">
        <v>3500</v>
      </c>
      <c r="J173" s="6">
        <v>7000</v>
      </c>
      <c r="K173" t="str" cm="1">
        <f t="array" ref="K173">_xlfn.IFS(J173&lt;30000,"Low Value",J173&lt;=100000,"Medium Value",J173&gt;100000,"High Value")</f>
        <v>Low Value</v>
      </c>
      <c r="L173" s="4" t="s">
        <v>43</v>
      </c>
      <c r="M173" s="4" t="s">
        <v>24</v>
      </c>
      <c r="N173" s="4" t="str">
        <f t="shared" si="6"/>
        <v>September</v>
      </c>
      <c r="O173" s="4" t="str">
        <f t="shared" si="7"/>
        <v>Q3</v>
      </c>
      <c r="P173" s="4">
        <f t="shared" si="8"/>
        <v>2025</v>
      </c>
    </row>
    <row r="174" spans="1:16" x14ac:dyDescent="0.25">
      <c r="A174" s="4">
        <v>173</v>
      </c>
      <c r="B174" s="5">
        <v>45688</v>
      </c>
      <c r="C174" s="4" t="s">
        <v>25</v>
      </c>
      <c r="D174" s="4" t="s">
        <v>26</v>
      </c>
      <c r="E174" s="4" t="s">
        <v>224</v>
      </c>
      <c r="F174" s="4" t="s">
        <v>40</v>
      </c>
      <c r="G174" s="4" t="s">
        <v>16</v>
      </c>
      <c r="H174" s="4">
        <v>1</v>
      </c>
      <c r="I174" s="6">
        <v>500</v>
      </c>
      <c r="J174" s="6">
        <v>500</v>
      </c>
      <c r="K174" t="str" cm="1">
        <f t="array" ref="K174">_xlfn.IFS(J174&lt;30000,"Low Value",J174&lt;=100000,"Medium Value",J174&gt;100000,"High Value")</f>
        <v>Low Value</v>
      </c>
      <c r="L174" s="4" t="s">
        <v>33</v>
      </c>
      <c r="M174" s="4" t="s">
        <v>18</v>
      </c>
      <c r="N174" s="4" t="str">
        <f t="shared" si="6"/>
        <v>January</v>
      </c>
      <c r="O174" s="4" t="str">
        <f t="shared" si="7"/>
        <v>Q1</v>
      </c>
      <c r="P174" s="4">
        <f t="shared" si="8"/>
        <v>2025</v>
      </c>
    </row>
    <row r="175" spans="1:16" x14ac:dyDescent="0.25">
      <c r="A175" s="4">
        <v>174</v>
      </c>
      <c r="B175" s="5">
        <v>45975</v>
      </c>
      <c r="C175" s="4" t="s">
        <v>48</v>
      </c>
      <c r="D175" s="4" t="s">
        <v>66</v>
      </c>
      <c r="E175" s="4" t="s">
        <v>225</v>
      </c>
      <c r="F175" s="4" t="s">
        <v>32</v>
      </c>
      <c r="G175" s="4" t="s">
        <v>29</v>
      </c>
      <c r="H175" s="4">
        <v>7</v>
      </c>
      <c r="I175" s="6">
        <v>7000</v>
      </c>
      <c r="J175" s="6">
        <v>49000</v>
      </c>
      <c r="K175" t="str" cm="1">
        <f t="array" ref="K175">_xlfn.IFS(J175&lt;30000,"Low Value",J175&lt;=100000,"Medium Value",J175&gt;100000,"High Value")</f>
        <v>Medium Value</v>
      </c>
      <c r="L175" s="4" t="s">
        <v>23</v>
      </c>
      <c r="M175" s="4" t="s">
        <v>24</v>
      </c>
      <c r="N175" s="4" t="str">
        <f t="shared" si="6"/>
        <v>November</v>
      </c>
      <c r="O175" s="4" t="str">
        <f t="shared" si="7"/>
        <v>Q4</v>
      </c>
      <c r="P175" s="4">
        <f t="shared" si="8"/>
        <v>2025</v>
      </c>
    </row>
    <row r="176" spans="1:16" x14ac:dyDescent="0.25">
      <c r="A176" s="4">
        <v>175</v>
      </c>
      <c r="B176" s="5">
        <v>45821</v>
      </c>
      <c r="C176" s="4" t="s">
        <v>12</v>
      </c>
      <c r="D176" s="4" t="s">
        <v>41</v>
      </c>
      <c r="E176" s="4" t="s">
        <v>226</v>
      </c>
      <c r="F176" s="4" t="s">
        <v>22</v>
      </c>
      <c r="G176" s="4" t="s">
        <v>16</v>
      </c>
      <c r="H176" s="4">
        <v>5</v>
      </c>
      <c r="I176" s="6">
        <v>1200</v>
      </c>
      <c r="J176" s="6">
        <v>6000</v>
      </c>
      <c r="K176" t="str" cm="1">
        <f t="array" ref="K176">_xlfn.IFS(J176&lt;30000,"Low Value",J176&lt;=100000,"Medium Value",J176&gt;100000,"High Value")</f>
        <v>Low Value</v>
      </c>
      <c r="L176" s="4" t="s">
        <v>17</v>
      </c>
      <c r="M176" s="4" t="s">
        <v>24</v>
      </c>
      <c r="N176" s="4" t="str">
        <f t="shared" si="6"/>
        <v>June</v>
      </c>
      <c r="O176" s="4" t="str">
        <f t="shared" si="7"/>
        <v>Q2</v>
      </c>
      <c r="P176" s="4">
        <f t="shared" si="8"/>
        <v>2025</v>
      </c>
    </row>
    <row r="177" spans="1:16" x14ac:dyDescent="0.25">
      <c r="A177" s="4">
        <v>176</v>
      </c>
      <c r="B177" s="5">
        <v>45886</v>
      </c>
      <c r="C177" s="4" t="s">
        <v>12</v>
      </c>
      <c r="D177" s="4" t="s">
        <v>85</v>
      </c>
      <c r="E177" s="4" t="s">
        <v>227</v>
      </c>
      <c r="F177" s="4" t="s">
        <v>22</v>
      </c>
      <c r="G177" s="4" t="s">
        <v>16</v>
      </c>
      <c r="H177" s="4">
        <v>7</v>
      </c>
      <c r="I177" s="6">
        <v>1200</v>
      </c>
      <c r="J177" s="6">
        <v>8400</v>
      </c>
      <c r="K177" t="str" cm="1">
        <f t="array" ref="K177">_xlfn.IFS(J177&lt;30000,"Low Value",J177&lt;=100000,"Medium Value",J177&gt;100000,"High Value")</f>
        <v>Low Value</v>
      </c>
      <c r="L177" s="4" t="s">
        <v>43</v>
      </c>
      <c r="M177" s="4" t="s">
        <v>24</v>
      </c>
      <c r="N177" s="4" t="str">
        <f t="shared" si="6"/>
        <v>August</v>
      </c>
      <c r="O177" s="4" t="str">
        <f t="shared" si="7"/>
        <v>Q3</v>
      </c>
      <c r="P177" s="4">
        <f t="shared" si="8"/>
        <v>2025</v>
      </c>
    </row>
    <row r="178" spans="1:16" x14ac:dyDescent="0.25">
      <c r="A178" s="4">
        <v>177</v>
      </c>
      <c r="B178" s="5">
        <v>45981</v>
      </c>
      <c r="C178" s="4" t="s">
        <v>25</v>
      </c>
      <c r="D178" s="4" t="s">
        <v>26</v>
      </c>
      <c r="E178" s="4" t="s">
        <v>228</v>
      </c>
      <c r="F178" s="4" t="s">
        <v>32</v>
      </c>
      <c r="G178" s="4" t="s">
        <v>29</v>
      </c>
      <c r="H178" s="4">
        <v>8</v>
      </c>
      <c r="I178" s="6">
        <v>7000</v>
      </c>
      <c r="J178" s="6">
        <v>56000</v>
      </c>
      <c r="K178" t="str" cm="1">
        <f t="array" ref="K178">_xlfn.IFS(J178&lt;30000,"Low Value",J178&lt;=100000,"Medium Value",J178&gt;100000,"High Value")</f>
        <v>Medium Value</v>
      </c>
      <c r="L178" s="4" t="s">
        <v>33</v>
      </c>
      <c r="M178" s="4" t="s">
        <v>24</v>
      </c>
      <c r="N178" s="4" t="str">
        <f t="shared" si="6"/>
        <v>November</v>
      </c>
      <c r="O178" s="4" t="str">
        <f t="shared" si="7"/>
        <v>Q4</v>
      </c>
      <c r="P178" s="4">
        <f t="shared" si="8"/>
        <v>2025</v>
      </c>
    </row>
    <row r="179" spans="1:16" x14ac:dyDescent="0.25">
      <c r="A179" s="4">
        <v>178</v>
      </c>
      <c r="B179" s="5">
        <v>45922</v>
      </c>
      <c r="C179" s="4" t="s">
        <v>34</v>
      </c>
      <c r="D179" s="4" t="s">
        <v>44</v>
      </c>
      <c r="E179" s="4" t="s">
        <v>229</v>
      </c>
      <c r="F179" s="4" t="s">
        <v>32</v>
      </c>
      <c r="G179" s="4" t="s">
        <v>29</v>
      </c>
      <c r="H179" s="4">
        <v>7</v>
      </c>
      <c r="I179" s="6">
        <v>7000</v>
      </c>
      <c r="J179" s="6">
        <v>49000</v>
      </c>
      <c r="K179" t="str" cm="1">
        <f t="array" ref="K179">_xlfn.IFS(J179&lt;30000,"Low Value",J179&lt;=100000,"Medium Value",J179&gt;100000,"High Value")</f>
        <v>Medium Value</v>
      </c>
      <c r="L179" s="4" t="s">
        <v>23</v>
      </c>
      <c r="M179" s="4" t="s">
        <v>54</v>
      </c>
      <c r="N179" s="4" t="str">
        <f t="shared" si="6"/>
        <v>September</v>
      </c>
      <c r="O179" s="4" t="str">
        <f t="shared" si="7"/>
        <v>Q3</v>
      </c>
      <c r="P179" s="4">
        <f t="shared" si="8"/>
        <v>2025</v>
      </c>
    </row>
    <row r="180" spans="1:16" x14ac:dyDescent="0.25">
      <c r="A180" s="4">
        <v>179</v>
      </c>
      <c r="B180" s="5">
        <v>45938</v>
      </c>
      <c r="C180" s="4" t="s">
        <v>34</v>
      </c>
      <c r="D180" s="4" t="s">
        <v>66</v>
      </c>
      <c r="E180" s="4" t="s">
        <v>116</v>
      </c>
      <c r="F180" s="4" t="s">
        <v>22</v>
      </c>
      <c r="G180" s="4" t="s">
        <v>16</v>
      </c>
      <c r="H180" s="4">
        <v>8</v>
      </c>
      <c r="I180" s="6">
        <v>1200</v>
      </c>
      <c r="J180" s="6">
        <v>9600</v>
      </c>
      <c r="K180" t="str" cm="1">
        <f t="array" ref="K180">_xlfn.IFS(J180&lt;30000,"Low Value",J180&lt;=100000,"Medium Value",J180&gt;100000,"High Value")</f>
        <v>Low Value</v>
      </c>
      <c r="L180" s="4" t="s">
        <v>43</v>
      </c>
      <c r="M180" s="4" t="s">
        <v>24</v>
      </c>
      <c r="N180" s="4" t="str">
        <f t="shared" si="6"/>
        <v>October</v>
      </c>
      <c r="O180" s="4" t="str">
        <f t="shared" si="7"/>
        <v>Q4</v>
      </c>
      <c r="P180" s="4">
        <f t="shared" si="8"/>
        <v>2025</v>
      </c>
    </row>
    <row r="181" spans="1:16" x14ac:dyDescent="0.25">
      <c r="A181" s="4">
        <v>180</v>
      </c>
      <c r="B181" s="5">
        <v>45852</v>
      </c>
      <c r="C181" s="4" t="s">
        <v>12</v>
      </c>
      <c r="D181" s="4" t="s">
        <v>64</v>
      </c>
      <c r="E181" s="4" t="s">
        <v>230</v>
      </c>
      <c r="F181" s="4" t="s">
        <v>22</v>
      </c>
      <c r="G181" s="4" t="s">
        <v>16</v>
      </c>
      <c r="H181" s="4">
        <v>7</v>
      </c>
      <c r="I181" s="6">
        <v>1200</v>
      </c>
      <c r="J181" s="6">
        <v>8400</v>
      </c>
      <c r="K181" t="str" cm="1">
        <f t="array" ref="K181">_xlfn.IFS(J181&lt;30000,"Low Value",J181&lt;=100000,"Medium Value",J181&gt;100000,"High Value")</f>
        <v>Low Value</v>
      </c>
      <c r="L181" s="4" t="s">
        <v>17</v>
      </c>
      <c r="M181" s="4" t="s">
        <v>24</v>
      </c>
      <c r="N181" s="4" t="str">
        <f t="shared" si="6"/>
        <v>July</v>
      </c>
      <c r="O181" s="4" t="str">
        <f t="shared" si="7"/>
        <v>Q3</v>
      </c>
      <c r="P181" s="4">
        <f t="shared" si="8"/>
        <v>2025</v>
      </c>
    </row>
    <row r="182" spans="1:16" x14ac:dyDescent="0.25">
      <c r="A182" s="4">
        <v>181</v>
      </c>
      <c r="B182" s="5">
        <v>45871</v>
      </c>
      <c r="C182" s="4" t="s">
        <v>34</v>
      </c>
      <c r="D182" s="4" t="s">
        <v>49</v>
      </c>
      <c r="E182" s="4" t="s">
        <v>231</v>
      </c>
      <c r="F182" s="4" t="s">
        <v>15</v>
      </c>
      <c r="G182" s="4" t="s">
        <v>16</v>
      </c>
      <c r="H182" s="4">
        <v>2</v>
      </c>
      <c r="I182" s="6">
        <v>55000</v>
      </c>
      <c r="J182" s="6">
        <v>110000</v>
      </c>
      <c r="K182" t="str" cm="1">
        <f t="array" ref="K182">_xlfn.IFS(J182&lt;30000,"Low Value",J182&lt;=100000,"Medium Value",J182&gt;100000,"High Value")</f>
        <v>High Value</v>
      </c>
      <c r="L182" s="4" t="s">
        <v>33</v>
      </c>
      <c r="M182" s="4" t="s">
        <v>54</v>
      </c>
      <c r="N182" s="4" t="str">
        <f t="shared" si="6"/>
        <v>August</v>
      </c>
      <c r="O182" s="4" t="str">
        <f t="shared" si="7"/>
        <v>Q3</v>
      </c>
      <c r="P182" s="4">
        <f t="shared" si="8"/>
        <v>2025</v>
      </c>
    </row>
    <row r="183" spans="1:16" x14ac:dyDescent="0.25">
      <c r="A183" s="4">
        <v>182</v>
      </c>
      <c r="B183" s="5">
        <v>45996</v>
      </c>
      <c r="C183" s="4" t="s">
        <v>12</v>
      </c>
      <c r="D183" s="4" t="s">
        <v>97</v>
      </c>
      <c r="E183" s="4" t="s">
        <v>232</v>
      </c>
      <c r="F183" s="4" t="s">
        <v>28</v>
      </c>
      <c r="G183" s="4" t="s">
        <v>29</v>
      </c>
      <c r="H183" s="4">
        <v>4</v>
      </c>
      <c r="I183" s="6">
        <v>3500</v>
      </c>
      <c r="J183" s="6">
        <v>14000</v>
      </c>
      <c r="K183" t="str" cm="1">
        <f t="array" ref="K183">_xlfn.IFS(J183&lt;30000,"Low Value",J183&lt;=100000,"Medium Value",J183&gt;100000,"High Value")</f>
        <v>Low Value</v>
      </c>
      <c r="L183" s="4" t="s">
        <v>43</v>
      </c>
      <c r="M183" s="4" t="s">
        <v>24</v>
      </c>
      <c r="N183" s="4" t="str">
        <f t="shared" si="6"/>
        <v>December</v>
      </c>
      <c r="O183" s="4" t="str">
        <f t="shared" si="7"/>
        <v>Q4</v>
      </c>
      <c r="P183" s="4">
        <f t="shared" si="8"/>
        <v>2025</v>
      </c>
    </row>
    <row r="184" spans="1:16" x14ac:dyDescent="0.25">
      <c r="A184" s="4">
        <v>183</v>
      </c>
      <c r="B184" s="5">
        <v>45893</v>
      </c>
      <c r="C184" s="4" t="s">
        <v>48</v>
      </c>
      <c r="D184" s="4" t="s">
        <v>20</v>
      </c>
      <c r="E184" s="4" t="s">
        <v>233</v>
      </c>
      <c r="F184" s="4" t="s">
        <v>15</v>
      </c>
      <c r="G184" s="4" t="s">
        <v>16</v>
      </c>
      <c r="H184" s="4">
        <v>10</v>
      </c>
      <c r="I184" s="6">
        <v>55000</v>
      </c>
      <c r="J184" s="6">
        <v>550000</v>
      </c>
      <c r="K184" t="str" cm="1">
        <f t="array" ref="K184">_xlfn.IFS(J184&lt;30000,"Low Value",J184&lt;=100000,"Medium Value",J184&gt;100000,"High Value")</f>
        <v>High Value</v>
      </c>
      <c r="L184" s="4" t="s">
        <v>17</v>
      </c>
      <c r="M184" s="4" t="s">
        <v>24</v>
      </c>
      <c r="N184" s="4" t="str">
        <f t="shared" si="6"/>
        <v>August</v>
      </c>
      <c r="O184" s="4" t="str">
        <f t="shared" si="7"/>
        <v>Q3</v>
      </c>
      <c r="P184" s="4">
        <f t="shared" si="8"/>
        <v>2025</v>
      </c>
    </row>
    <row r="185" spans="1:16" x14ac:dyDescent="0.25">
      <c r="A185" s="4">
        <v>184</v>
      </c>
      <c r="B185" s="5">
        <v>45863</v>
      </c>
      <c r="C185" s="4" t="s">
        <v>48</v>
      </c>
      <c r="D185" s="4" t="s">
        <v>52</v>
      </c>
      <c r="E185" s="4" t="s">
        <v>234</v>
      </c>
      <c r="F185" s="4" t="s">
        <v>32</v>
      </c>
      <c r="G185" s="4" t="s">
        <v>29</v>
      </c>
      <c r="H185" s="4">
        <v>5</v>
      </c>
      <c r="I185" s="6">
        <v>7000</v>
      </c>
      <c r="J185" s="6">
        <v>35000</v>
      </c>
      <c r="K185" t="str" cm="1">
        <f t="array" ref="K185">_xlfn.IFS(J185&lt;30000,"Low Value",J185&lt;=100000,"Medium Value",J185&gt;100000,"High Value")</f>
        <v>Medium Value</v>
      </c>
      <c r="L185" s="4" t="s">
        <v>17</v>
      </c>
      <c r="M185" s="4" t="s">
        <v>24</v>
      </c>
      <c r="N185" s="4" t="str">
        <f t="shared" si="6"/>
        <v>July</v>
      </c>
      <c r="O185" s="4" t="str">
        <f t="shared" si="7"/>
        <v>Q3</v>
      </c>
      <c r="P185" s="4">
        <f t="shared" si="8"/>
        <v>2025</v>
      </c>
    </row>
    <row r="186" spans="1:16" x14ac:dyDescent="0.25">
      <c r="A186" s="4">
        <v>185</v>
      </c>
      <c r="B186" s="5">
        <v>45680</v>
      </c>
      <c r="C186" s="4" t="s">
        <v>34</v>
      </c>
      <c r="D186" s="4" t="s">
        <v>52</v>
      </c>
      <c r="E186" s="4" t="s">
        <v>235</v>
      </c>
      <c r="F186" s="4" t="s">
        <v>28</v>
      </c>
      <c r="G186" s="4" t="s">
        <v>29</v>
      </c>
      <c r="H186" s="4">
        <v>6</v>
      </c>
      <c r="I186" s="6">
        <v>3500</v>
      </c>
      <c r="J186" s="6">
        <v>21000</v>
      </c>
      <c r="K186" t="str" cm="1">
        <f t="array" ref="K186">_xlfn.IFS(J186&lt;30000,"Low Value",J186&lt;=100000,"Medium Value",J186&gt;100000,"High Value")</f>
        <v>Low Value</v>
      </c>
      <c r="L186" s="4" t="s">
        <v>43</v>
      </c>
      <c r="M186" s="4" t="s">
        <v>24</v>
      </c>
      <c r="N186" s="4" t="str">
        <f t="shared" si="6"/>
        <v>January</v>
      </c>
      <c r="O186" s="4" t="str">
        <f t="shared" si="7"/>
        <v>Q1</v>
      </c>
      <c r="P186" s="4">
        <f t="shared" si="8"/>
        <v>2025</v>
      </c>
    </row>
    <row r="187" spans="1:16" x14ac:dyDescent="0.25">
      <c r="A187" s="4">
        <v>186</v>
      </c>
      <c r="B187" s="5">
        <v>45933</v>
      </c>
      <c r="C187" s="4" t="s">
        <v>25</v>
      </c>
      <c r="D187" s="4" t="s">
        <v>71</v>
      </c>
      <c r="E187" s="4" t="s">
        <v>236</v>
      </c>
      <c r="F187" s="4" t="s">
        <v>15</v>
      </c>
      <c r="G187" s="4" t="s">
        <v>16</v>
      </c>
      <c r="H187" s="4">
        <v>4</v>
      </c>
      <c r="I187" s="6">
        <v>55000</v>
      </c>
      <c r="J187" s="6">
        <v>220000</v>
      </c>
      <c r="K187" t="str" cm="1">
        <f t="array" ref="K187">_xlfn.IFS(J187&lt;30000,"Low Value",J187&lt;=100000,"Medium Value",J187&gt;100000,"High Value")</f>
        <v>High Value</v>
      </c>
      <c r="L187" s="4" t="s">
        <v>33</v>
      </c>
      <c r="M187" s="4" t="s">
        <v>24</v>
      </c>
      <c r="N187" s="4" t="str">
        <f t="shared" si="6"/>
        <v>October</v>
      </c>
      <c r="O187" s="4" t="str">
        <f t="shared" si="7"/>
        <v>Q4</v>
      </c>
      <c r="P187" s="4">
        <f t="shared" si="8"/>
        <v>2025</v>
      </c>
    </row>
    <row r="188" spans="1:16" x14ac:dyDescent="0.25">
      <c r="A188" s="4">
        <v>187</v>
      </c>
      <c r="B188" s="5">
        <v>45968</v>
      </c>
      <c r="C188" s="4" t="s">
        <v>34</v>
      </c>
      <c r="D188" s="4" t="s">
        <v>55</v>
      </c>
      <c r="E188" s="4" t="s">
        <v>237</v>
      </c>
      <c r="F188" s="4" t="s">
        <v>40</v>
      </c>
      <c r="G188" s="4" t="s">
        <v>16</v>
      </c>
      <c r="H188" s="4">
        <v>2</v>
      </c>
      <c r="I188" s="6">
        <v>500</v>
      </c>
      <c r="J188" s="6">
        <v>1000</v>
      </c>
      <c r="K188" t="str" cm="1">
        <f t="array" ref="K188">_xlfn.IFS(J188&lt;30000,"Low Value",J188&lt;=100000,"Medium Value",J188&gt;100000,"High Value")</f>
        <v>Low Value</v>
      </c>
      <c r="L188" s="4" t="s">
        <v>33</v>
      </c>
      <c r="M188" s="4" t="s">
        <v>24</v>
      </c>
      <c r="N188" s="4" t="str">
        <f t="shared" si="6"/>
        <v>November</v>
      </c>
      <c r="O188" s="4" t="str">
        <f t="shared" si="7"/>
        <v>Q4</v>
      </c>
      <c r="P188" s="4">
        <f t="shared" si="8"/>
        <v>2025</v>
      </c>
    </row>
    <row r="189" spans="1:16" x14ac:dyDescent="0.25">
      <c r="A189" s="4">
        <v>188</v>
      </c>
      <c r="B189" s="5">
        <v>45765</v>
      </c>
      <c r="C189" s="4" t="s">
        <v>12</v>
      </c>
      <c r="D189" s="4" t="s">
        <v>55</v>
      </c>
      <c r="E189" s="4" t="s">
        <v>238</v>
      </c>
      <c r="F189" s="4" t="s">
        <v>15</v>
      </c>
      <c r="G189" s="4" t="s">
        <v>16</v>
      </c>
      <c r="H189" s="4">
        <v>10</v>
      </c>
      <c r="I189" s="6">
        <v>55000</v>
      </c>
      <c r="J189" s="6">
        <v>550000</v>
      </c>
      <c r="K189" t="str" cm="1">
        <f t="array" ref="K189">_xlfn.IFS(J189&lt;30000,"Low Value",J189&lt;=100000,"Medium Value",J189&gt;100000,"High Value")</f>
        <v>High Value</v>
      </c>
      <c r="L189" s="4" t="s">
        <v>43</v>
      </c>
      <c r="M189" s="4" t="s">
        <v>24</v>
      </c>
      <c r="N189" s="4" t="str">
        <f t="shared" si="6"/>
        <v>April</v>
      </c>
      <c r="O189" s="4" t="str">
        <f t="shared" si="7"/>
        <v>Q2</v>
      </c>
      <c r="P189" s="4">
        <f t="shared" si="8"/>
        <v>2025</v>
      </c>
    </row>
    <row r="190" spans="1:16" x14ac:dyDescent="0.25">
      <c r="A190" s="4">
        <v>189</v>
      </c>
      <c r="B190" s="5">
        <v>45799</v>
      </c>
      <c r="C190" s="4" t="s">
        <v>34</v>
      </c>
      <c r="D190" s="4" t="s">
        <v>121</v>
      </c>
      <c r="E190" s="4" t="s">
        <v>239</v>
      </c>
      <c r="F190" s="4" t="s">
        <v>40</v>
      </c>
      <c r="G190" s="4" t="s">
        <v>16</v>
      </c>
      <c r="H190" s="4">
        <v>4</v>
      </c>
      <c r="I190" s="6">
        <v>500</v>
      </c>
      <c r="J190" s="6">
        <v>2000</v>
      </c>
      <c r="K190" t="str" cm="1">
        <f t="array" ref="K190">_xlfn.IFS(J190&lt;30000,"Low Value",J190&lt;=100000,"Medium Value",J190&gt;100000,"High Value")</f>
        <v>Low Value</v>
      </c>
      <c r="L190" s="4" t="s">
        <v>23</v>
      </c>
      <c r="M190" s="4" t="s">
        <v>24</v>
      </c>
      <c r="N190" s="4" t="str">
        <f t="shared" si="6"/>
        <v>May</v>
      </c>
      <c r="O190" s="4" t="str">
        <f t="shared" si="7"/>
        <v>Q2</v>
      </c>
      <c r="P190" s="4">
        <f t="shared" si="8"/>
        <v>2025</v>
      </c>
    </row>
    <row r="191" spans="1:16" x14ac:dyDescent="0.25">
      <c r="A191" s="4">
        <v>190</v>
      </c>
      <c r="B191" s="5">
        <v>45917</v>
      </c>
      <c r="C191" s="4" t="s">
        <v>12</v>
      </c>
      <c r="D191" s="4" t="s">
        <v>44</v>
      </c>
      <c r="E191" s="4" t="s">
        <v>240</v>
      </c>
      <c r="F191" s="4" t="s">
        <v>15</v>
      </c>
      <c r="G191" s="4" t="s">
        <v>16</v>
      </c>
      <c r="H191" s="4">
        <v>4</v>
      </c>
      <c r="I191" s="6">
        <v>55000</v>
      </c>
      <c r="J191" s="6">
        <v>220000</v>
      </c>
      <c r="K191" t="str" cm="1">
        <f t="array" ref="K191">_xlfn.IFS(J191&lt;30000,"Low Value",J191&lt;=100000,"Medium Value",J191&gt;100000,"High Value")</f>
        <v>High Value</v>
      </c>
      <c r="L191" s="4" t="s">
        <v>17</v>
      </c>
      <c r="M191" s="4" t="s">
        <v>24</v>
      </c>
      <c r="N191" s="4" t="str">
        <f t="shared" si="6"/>
        <v>September</v>
      </c>
      <c r="O191" s="4" t="str">
        <f t="shared" si="7"/>
        <v>Q3</v>
      </c>
      <c r="P191" s="4">
        <f t="shared" si="8"/>
        <v>2025</v>
      </c>
    </row>
    <row r="192" spans="1:16" x14ac:dyDescent="0.25">
      <c r="A192" s="4">
        <v>191</v>
      </c>
      <c r="B192" s="5">
        <v>45809</v>
      </c>
      <c r="C192" s="4" t="s">
        <v>12</v>
      </c>
      <c r="D192" s="4" t="s">
        <v>64</v>
      </c>
      <c r="E192" s="4" t="s">
        <v>241</v>
      </c>
      <c r="F192" s="4" t="s">
        <v>28</v>
      </c>
      <c r="G192" s="4" t="s">
        <v>29</v>
      </c>
      <c r="H192" s="4">
        <v>1</v>
      </c>
      <c r="I192" s="6">
        <v>3500</v>
      </c>
      <c r="J192" s="6">
        <v>3500</v>
      </c>
      <c r="K192" t="str" cm="1">
        <f t="array" ref="K192">_xlfn.IFS(J192&lt;30000,"Low Value",J192&lt;=100000,"Medium Value",J192&gt;100000,"High Value")</f>
        <v>Low Value</v>
      </c>
      <c r="L192" s="4" t="s">
        <v>23</v>
      </c>
      <c r="M192" s="4" t="s">
        <v>24</v>
      </c>
      <c r="N192" s="4" t="str">
        <f t="shared" si="6"/>
        <v>June</v>
      </c>
      <c r="O192" s="4" t="str">
        <f t="shared" si="7"/>
        <v>Q2</v>
      </c>
      <c r="P192" s="4">
        <f t="shared" si="8"/>
        <v>2025</v>
      </c>
    </row>
    <row r="193" spans="1:16" x14ac:dyDescent="0.25">
      <c r="A193" s="4">
        <v>192</v>
      </c>
      <c r="B193" s="5">
        <v>45916</v>
      </c>
      <c r="C193" s="4" t="s">
        <v>48</v>
      </c>
      <c r="D193" s="4" t="s">
        <v>13</v>
      </c>
      <c r="E193" s="4" t="s">
        <v>242</v>
      </c>
      <c r="F193" s="4" t="s">
        <v>28</v>
      </c>
      <c r="G193" s="4" t="s">
        <v>29</v>
      </c>
      <c r="H193" s="4">
        <v>10</v>
      </c>
      <c r="I193" s="6">
        <v>3500</v>
      </c>
      <c r="J193" s="6">
        <v>35000</v>
      </c>
      <c r="K193" t="str" cm="1">
        <f t="array" ref="K193">_xlfn.IFS(J193&lt;30000,"Low Value",J193&lt;=100000,"Medium Value",J193&gt;100000,"High Value")</f>
        <v>Medium Value</v>
      </c>
      <c r="L193" s="4" t="s">
        <v>23</v>
      </c>
      <c r="M193" s="4" t="s">
        <v>24</v>
      </c>
      <c r="N193" s="4" t="str">
        <f t="shared" si="6"/>
        <v>September</v>
      </c>
      <c r="O193" s="4" t="str">
        <f t="shared" si="7"/>
        <v>Q3</v>
      </c>
      <c r="P193" s="4">
        <f t="shared" si="8"/>
        <v>2025</v>
      </c>
    </row>
    <row r="194" spans="1:16" x14ac:dyDescent="0.25">
      <c r="A194" s="4">
        <v>193</v>
      </c>
      <c r="B194" s="5">
        <v>45834</v>
      </c>
      <c r="C194" s="4" t="s">
        <v>12</v>
      </c>
      <c r="D194" s="4" t="s">
        <v>30</v>
      </c>
      <c r="E194" s="4" t="s">
        <v>243</v>
      </c>
      <c r="F194" s="4" t="s">
        <v>40</v>
      </c>
      <c r="G194" s="4" t="s">
        <v>16</v>
      </c>
      <c r="H194" s="4">
        <v>9</v>
      </c>
      <c r="I194" s="6">
        <v>500</v>
      </c>
      <c r="J194" s="6">
        <v>4500</v>
      </c>
      <c r="K194" t="str" cm="1">
        <f t="array" ref="K194">_xlfn.IFS(J194&lt;30000,"Low Value",J194&lt;=100000,"Medium Value",J194&gt;100000,"High Value")</f>
        <v>Low Value</v>
      </c>
      <c r="L194" s="4" t="s">
        <v>17</v>
      </c>
      <c r="M194" s="4" t="s">
        <v>54</v>
      </c>
      <c r="N194" s="4" t="str">
        <f t="shared" si="6"/>
        <v>June</v>
      </c>
      <c r="O194" s="4" t="str">
        <f t="shared" si="7"/>
        <v>Q2</v>
      </c>
      <c r="P194" s="4">
        <f t="shared" si="8"/>
        <v>2025</v>
      </c>
    </row>
    <row r="195" spans="1:16" x14ac:dyDescent="0.25">
      <c r="A195" s="4">
        <v>194</v>
      </c>
      <c r="B195" s="5">
        <v>45847</v>
      </c>
      <c r="C195" s="4" t="s">
        <v>19</v>
      </c>
      <c r="D195" s="4" t="s">
        <v>38</v>
      </c>
      <c r="E195" s="4" t="s">
        <v>244</v>
      </c>
      <c r="F195" s="4" t="s">
        <v>15</v>
      </c>
      <c r="G195" s="4" t="s">
        <v>16</v>
      </c>
      <c r="H195" s="4">
        <v>3</v>
      </c>
      <c r="I195" s="6">
        <v>55000</v>
      </c>
      <c r="J195" s="6">
        <v>165000</v>
      </c>
      <c r="K195" t="str" cm="1">
        <f t="array" ref="K195">_xlfn.IFS(J195&lt;30000,"Low Value",J195&lt;=100000,"Medium Value",J195&gt;100000,"High Value")</f>
        <v>High Value</v>
      </c>
      <c r="L195" s="4" t="s">
        <v>17</v>
      </c>
      <c r="M195" s="4" t="s">
        <v>18</v>
      </c>
      <c r="N195" s="4" t="str">
        <f t="shared" ref="N195:N258" si="9">TEXT(B195,"MMMM")</f>
        <v>July</v>
      </c>
      <c r="O195" s="4" t="str">
        <f t="shared" ref="O195:O258" si="10">"Q"&amp;ROUNDUP(MONTH(B195)/3,0)</f>
        <v>Q3</v>
      </c>
      <c r="P195" s="4">
        <f t="shared" ref="P195:P258" si="11">YEAR(B:B)</f>
        <v>2025</v>
      </c>
    </row>
    <row r="196" spans="1:16" x14ac:dyDescent="0.25">
      <c r="A196" s="4">
        <v>195</v>
      </c>
      <c r="B196" s="5">
        <v>45868</v>
      </c>
      <c r="C196" s="4" t="s">
        <v>48</v>
      </c>
      <c r="D196" s="4" t="s">
        <v>97</v>
      </c>
      <c r="E196" s="4" t="s">
        <v>245</v>
      </c>
      <c r="F196" s="4" t="s">
        <v>22</v>
      </c>
      <c r="G196" s="4" t="s">
        <v>16</v>
      </c>
      <c r="H196" s="4">
        <v>2</v>
      </c>
      <c r="I196" s="6">
        <v>1200</v>
      </c>
      <c r="J196" s="6">
        <v>2400</v>
      </c>
      <c r="K196" t="str" cm="1">
        <f t="array" ref="K196">_xlfn.IFS(J196&lt;30000,"Low Value",J196&lt;=100000,"Medium Value",J196&gt;100000,"High Value")</f>
        <v>Low Value</v>
      </c>
      <c r="L196" s="4" t="s">
        <v>43</v>
      </c>
      <c r="M196" s="4" t="s">
        <v>24</v>
      </c>
      <c r="N196" s="4" t="str">
        <f t="shared" si="9"/>
        <v>July</v>
      </c>
      <c r="O196" s="4" t="str">
        <f t="shared" si="10"/>
        <v>Q3</v>
      </c>
      <c r="P196" s="4">
        <f t="shared" si="11"/>
        <v>2025</v>
      </c>
    </row>
    <row r="197" spans="1:16" x14ac:dyDescent="0.25">
      <c r="A197" s="4">
        <v>196</v>
      </c>
      <c r="B197" s="5">
        <v>45776</v>
      </c>
      <c r="C197" s="4" t="s">
        <v>12</v>
      </c>
      <c r="D197" s="4" t="s">
        <v>38</v>
      </c>
      <c r="E197" s="4" t="s">
        <v>246</v>
      </c>
      <c r="F197" s="4" t="s">
        <v>15</v>
      </c>
      <c r="G197" s="4" t="s">
        <v>16</v>
      </c>
      <c r="H197" s="4">
        <v>5</v>
      </c>
      <c r="I197" s="6">
        <v>55000</v>
      </c>
      <c r="J197" s="6">
        <v>275000</v>
      </c>
      <c r="K197" t="str" cm="1">
        <f t="array" ref="K197">_xlfn.IFS(J197&lt;30000,"Low Value",J197&lt;=100000,"Medium Value",J197&gt;100000,"High Value")</f>
        <v>High Value</v>
      </c>
      <c r="L197" s="4" t="s">
        <v>23</v>
      </c>
      <c r="M197" s="4" t="s">
        <v>24</v>
      </c>
      <c r="N197" s="4" t="str">
        <f t="shared" si="9"/>
        <v>April</v>
      </c>
      <c r="O197" s="4" t="str">
        <f t="shared" si="10"/>
        <v>Q2</v>
      </c>
      <c r="P197" s="4">
        <f t="shared" si="11"/>
        <v>2025</v>
      </c>
    </row>
    <row r="198" spans="1:16" x14ac:dyDescent="0.25">
      <c r="A198" s="4">
        <v>197</v>
      </c>
      <c r="B198" s="5">
        <v>45670</v>
      </c>
      <c r="C198" s="4" t="s">
        <v>12</v>
      </c>
      <c r="D198" s="4" t="s">
        <v>92</v>
      </c>
      <c r="E198" s="4" t="s">
        <v>247</v>
      </c>
      <c r="F198" s="4" t="s">
        <v>28</v>
      </c>
      <c r="G198" s="4" t="s">
        <v>29</v>
      </c>
      <c r="H198" s="4">
        <v>1</v>
      </c>
      <c r="I198" s="6">
        <v>3500</v>
      </c>
      <c r="J198" s="6">
        <v>3500</v>
      </c>
      <c r="K198" t="str" cm="1">
        <f t="array" ref="K198">_xlfn.IFS(J198&lt;30000,"Low Value",J198&lt;=100000,"Medium Value",J198&gt;100000,"High Value")</f>
        <v>Low Value</v>
      </c>
      <c r="L198" s="4" t="s">
        <v>17</v>
      </c>
      <c r="M198" s="4" t="s">
        <v>24</v>
      </c>
      <c r="N198" s="4" t="str">
        <f t="shared" si="9"/>
        <v>January</v>
      </c>
      <c r="O198" s="4" t="str">
        <f t="shared" si="10"/>
        <v>Q1</v>
      </c>
      <c r="P198" s="4">
        <f t="shared" si="11"/>
        <v>2025</v>
      </c>
    </row>
    <row r="199" spans="1:16" x14ac:dyDescent="0.25">
      <c r="A199" s="4">
        <v>198</v>
      </c>
      <c r="B199" s="5">
        <v>45918</v>
      </c>
      <c r="C199" s="4" t="s">
        <v>12</v>
      </c>
      <c r="D199" s="4" t="s">
        <v>73</v>
      </c>
      <c r="E199" s="4" t="s">
        <v>248</v>
      </c>
      <c r="F199" s="4" t="s">
        <v>22</v>
      </c>
      <c r="G199" s="4" t="s">
        <v>16</v>
      </c>
      <c r="H199" s="4">
        <v>8</v>
      </c>
      <c r="I199" s="6">
        <v>1200</v>
      </c>
      <c r="J199" s="6">
        <v>9600</v>
      </c>
      <c r="K199" t="str" cm="1">
        <f t="array" ref="K199">_xlfn.IFS(J199&lt;30000,"Low Value",J199&lt;=100000,"Medium Value",J199&gt;100000,"High Value")</f>
        <v>Low Value</v>
      </c>
      <c r="L199" s="4" t="s">
        <v>33</v>
      </c>
      <c r="M199" s="4" t="s">
        <v>24</v>
      </c>
      <c r="N199" s="4" t="str">
        <f t="shared" si="9"/>
        <v>September</v>
      </c>
      <c r="O199" s="4" t="str">
        <f t="shared" si="10"/>
        <v>Q3</v>
      </c>
      <c r="P199" s="4">
        <f t="shared" si="11"/>
        <v>2025</v>
      </c>
    </row>
    <row r="200" spans="1:16" x14ac:dyDescent="0.25">
      <c r="A200" s="4">
        <v>199</v>
      </c>
      <c r="B200" s="5">
        <v>45842</v>
      </c>
      <c r="C200" s="4" t="s">
        <v>25</v>
      </c>
      <c r="D200" s="4" t="s">
        <v>36</v>
      </c>
      <c r="E200" s="4" t="s">
        <v>249</v>
      </c>
      <c r="F200" s="4" t="s">
        <v>47</v>
      </c>
      <c r="G200" s="4" t="s">
        <v>16</v>
      </c>
      <c r="H200" s="4">
        <v>5</v>
      </c>
      <c r="I200" s="6">
        <v>9000</v>
      </c>
      <c r="J200" s="6">
        <v>45000</v>
      </c>
      <c r="K200" t="str" cm="1">
        <f t="array" ref="K200">_xlfn.IFS(J200&lt;30000,"Low Value",J200&lt;=100000,"Medium Value",J200&gt;100000,"High Value")</f>
        <v>Medium Value</v>
      </c>
      <c r="L200" s="4" t="s">
        <v>33</v>
      </c>
      <c r="M200" s="4" t="s">
        <v>24</v>
      </c>
      <c r="N200" s="4" t="str">
        <f t="shared" si="9"/>
        <v>July</v>
      </c>
      <c r="O200" s="4" t="str">
        <f t="shared" si="10"/>
        <v>Q3</v>
      </c>
      <c r="P200" s="4">
        <f t="shared" si="11"/>
        <v>2025</v>
      </c>
    </row>
    <row r="201" spans="1:16" x14ac:dyDescent="0.25">
      <c r="A201" s="4">
        <v>200</v>
      </c>
      <c r="B201" s="5">
        <v>45919</v>
      </c>
      <c r="C201" s="4" t="s">
        <v>48</v>
      </c>
      <c r="D201" s="4" t="s">
        <v>49</v>
      </c>
      <c r="E201" s="4" t="s">
        <v>250</v>
      </c>
      <c r="F201" s="4" t="s">
        <v>47</v>
      </c>
      <c r="G201" s="4" t="s">
        <v>16</v>
      </c>
      <c r="H201" s="4">
        <v>4</v>
      </c>
      <c r="I201" s="6">
        <v>9000</v>
      </c>
      <c r="J201" s="6">
        <v>36000</v>
      </c>
      <c r="K201" t="str" cm="1">
        <f t="array" ref="K201">_xlfn.IFS(J201&lt;30000,"Low Value",J201&lt;=100000,"Medium Value",J201&gt;100000,"High Value")</f>
        <v>Medium Value</v>
      </c>
      <c r="L201" s="4" t="s">
        <v>23</v>
      </c>
      <c r="M201" s="4" t="s">
        <v>24</v>
      </c>
      <c r="N201" s="4" t="str">
        <f t="shared" si="9"/>
        <v>September</v>
      </c>
      <c r="O201" s="4" t="str">
        <f t="shared" si="10"/>
        <v>Q3</v>
      </c>
      <c r="P201" s="4">
        <f t="shared" si="11"/>
        <v>2025</v>
      </c>
    </row>
    <row r="202" spans="1:16" x14ac:dyDescent="0.25">
      <c r="A202" s="4">
        <v>201</v>
      </c>
      <c r="B202" s="5">
        <v>45771</v>
      </c>
      <c r="C202" s="4" t="s">
        <v>19</v>
      </c>
      <c r="D202" s="4" t="s">
        <v>71</v>
      </c>
      <c r="E202" s="4" t="s">
        <v>251</v>
      </c>
      <c r="F202" s="4" t="s">
        <v>32</v>
      </c>
      <c r="G202" s="4" t="s">
        <v>29</v>
      </c>
      <c r="H202" s="4">
        <v>5</v>
      </c>
      <c r="I202" s="6">
        <v>7000</v>
      </c>
      <c r="J202" s="6">
        <v>35000</v>
      </c>
      <c r="K202" t="str" cm="1">
        <f t="array" ref="K202">_xlfn.IFS(J202&lt;30000,"Low Value",J202&lt;=100000,"Medium Value",J202&gt;100000,"High Value")</f>
        <v>Medium Value</v>
      </c>
      <c r="L202" s="4" t="s">
        <v>33</v>
      </c>
      <c r="M202" s="4" t="s">
        <v>24</v>
      </c>
      <c r="N202" s="4" t="str">
        <f t="shared" si="9"/>
        <v>April</v>
      </c>
      <c r="O202" s="4" t="str">
        <f t="shared" si="10"/>
        <v>Q2</v>
      </c>
      <c r="P202" s="4">
        <f t="shared" si="11"/>
        <v>2025</v>
      </c>
    </row>
    <row r="203" spans="1:16" x14ac:dyDescent="0.25">
      <c r="A203" s="4">
        <v>202</v>
      </c>
      <c r="B203" s="5">
        <v>45937</v>
      </c>
      <c r="C203" s="4" t="s">
        <v>19</v>
      </c>
      <c r="D203" s="4" t="s">
        <v>36</v>
      </c>
      <c r="E203" s="4" t="s">
        <v>252</v>
      </c>
      <c r="F203" s="4" t="s">
        <v>22</v>
      </c>
      <c r="G203" s="4" t="s">
        <v>16</v>
      </c>
      <c r="H203" s="4">
        <v>8</v>
      </c>
      <c r="I203" s="6">
        <v>1200</v>
      </c>
      <c r="J203" s="6">
        <v>9600</v>
      </c>
      <c r="K203" t="str" cm="1">
        <f t="array" ref="K203">_xlfn.IFS(J203&lt;30000,"Low Value",J203&lt;=100000,"Medium Value",J203&gt;100000,"High Value")</f>
        <v>Low Value</v>
      </c>
      <c r="L203" s="4" t="s">
        <v>23</v>
      </c>
      <c r="M203" s="4" t="s">
        <v>18</v>
      </c>
      <c r="N203" s="4" t="str">
        <f t="shared" si="9"/>
        <v>October</v>
      </c>
      <c r="O203" s="4" t="str">
        <f t="shared" si="10"/>
        <v>Q4</v>
      </c>
      <c r="P203" s="4">
        <f t="shared" si="11"/>
        <v>2025</v>
      </c>
    </row>
    <row r="204" spans="1:16" x14ac:dyDescent="0.25">
      <c r="A204" s="4">
        <v>203</v>
      </c>
      <c r="B204" s="5">
        <v>45695</v>
      </c>
      <c r="C204" s="4" t="s">
        <v>34</v>
      </c>
      <c r="D204" s="4" t="s">
        <v>97</v>
      </c>
      <c r="E204" s="4" t="s">
        <v>253</v>
      </c>
      <c r="F204" s="4" t="s">
        <v>47</v>
      </c>
      <c r="G204" s="4" t="s">
        <v>16</v>
      </c>
      <c r="H204" s="4">
        <v>10</v>
      </c>
      <c r="I204" s="6">
        <v>9000</v>
      </c>
      <c r="J204" s="6">
        <v>90000</v>
      </c>
      <c r="K204" t="str" cm="1">
        <f t="array" ref="K204">_xlfn.IFS(J204&lt;30000,"Low Value",J204&lt;=100000,"Medium Value",J204&gt;100000,"High Value")</f>
        <v>Medium Value</v>
      </c>
      <c r="L204" s="4" t="s">
        <v>33</v>
      </c>
      <c r="M204" s="4" t="s">
        <v>24</v>
      </c>
      <c r="N204" s="4" t="str">
        <f t="shared" si="9"/>
        <v>February</v>
      </c>
      <c r="O204" s="4" t="str">
        <f t="shared" si="10"/>
        <v>Q1</v>
      </c>
      <c r="P204" s="4">
        <f t="shared" si="11"/>
        <v>2025</v>
      </c>
    </row>
    <row r="205" spans="1:16" x14ac:dyDescent="0.25">
      <c r="A205" s="4">
        <v>204</v>
      </c>
      <c r="B205" s="5">
        <v>45719</v>
      </c>
      <c r="C205" s="4" t="s">
        <v>34</v>
      </c>
      <c r="D205" s="4" t="s">
        <v>85</v>
      </c>
      <c r="E205" s="4" t="s">
        <v>254</v>
      </c>
      <c r="F205" s="4" t="s">
        <v>32</v>
      </c>
      <c r="G205" s="4" t="s">
        <v>29</v>
      </c>
      <c r="H205" s="4">
        <v>4</v>
      </c>
      <c r="I205" s="6">
        <v>7000</v>
      </c>
      <c r="J205" s="6">
        <v>28000</v>
      </c>
      <c r="K205" t="str" cm="1">
        <f t="array" ref="K205">_xlfn.IFS(J205&lt;30000,"Low Value",J205&lt;=100000,"Medium Value",J205&gt;100000,"High Value")</f>
        <v>Low Value</v>
      </c>
      <c r="L205" s="4" t="s">
        <v>17</v>
      </c>
      <c r="M205" s="4" t="s">
        <v>24</v>
      </c>
      <c r="N205" s="4" t="str">
        <f t="shared" si="9"/>
        <v>March</v>
      </c>
      <c r="O205" s="4" t="str">
        <f t="shared" si="10"/>
        <v>Q1</v>
      </c>
      <c r="P205" s="4">
        <f t="shared" si="11"/>
        <v>2025</v>
      </c>
    </row>
    <row r="206" spans="1:16" x14ac:dyDescent="0.25">
      <c r="A206" s="4">
        <v>205</v>
      </c>
      <c r="B206" s="5">
        <v>45826</v>
      </c>
      <c r="C206" s="4" t="s">
        <v>12</v>
      </c>
      <c r="D206" s="4" t="s">
        <v>41</v>
      </c>
      <c r="E206" s="4" t="s">
        <v>255</v>
      </c>
      <c r="F206" s="4" t="s">
        <v>28</v>
      </c>
      <c r="G206" s="4" t="s">
        <v>29</v>
      </c>
      <c r="H206" s="4">
        <v>6</v>
      </c>
      <c r="I206" s="6">
        <v>3500</v>
      </c>
      <c r="J206" s="6">
        <v>21000</v>
      </c>
      <c r="K206" t="str" cm="1">
        <f t="array" ref="K206">_xlfn.IFS(J206&lt;30000,"Low Value",J206&lt;=100000,"Medium Value",J206&gt;100000,"High Value")</f>
        <v>Low Value</v>
      </c>
      <c r="L206" s="4" t="s">
        <v>33</v>
      </c>
      <c r="M206" s="4" t="s">
        <v>24</v>
      </c>
      <c r="N206" s="4" t="str">
        <f t="shared" si="9"/>
        <v>June</v>
      </c>
      <c r="O206" s="4" t="str">
        <f t="shared" si="10"/>
        <v>Q2</v>
      </c>
      <c r="P206" s="4">
        <f t="shared" si="11"/>
        <v>2025</v>
      </c>
    </row>
    <row r="207" spans="1:16" x14ac:dyDescent="0.25">
      <c r="A207" s="4">
        <v>206</v>
      </c>
      <c r="B207" s="5">
        <v>45979</v>
      </c>
      <c r="C207" s="4" t="s">
        <v>34</v>
      </c>
      <c r="D207" s="4" t="s">
        <v>26</v>
      </c>
      <c r="E207" s="4" t="s">
        <v>256</v>
      </c>
      <c r="F207" s="4" t="s">
        <v>28</v>
      </c>
      <c r="G207" s="4" t="s">
        <v>29</v>
      </c>
      <c r="H207" s="4">
        <v>7</v>
      </c>
      <c r="I207" s="6">
        <v>3500</v>
      </c>
      <c r="J207" s="6">
        <v>24500</v>
      </c>
      <c r="K207" t="str" cm="1">
        <f t="array" ref="K207">_xlfn.IFS(J207&lt;30000,"Low Value",J207&lt;=100000,"Medium Value",J207&gt;100000,"High Value")</f>
        <v>Low Value</v>
      </c>
      <c r="L207" s="4" t="s">
        <v>17</v>
      </c>
      <c r="M207" s="4" t="s">
        <v>24</v>
      </c>
      <c r="N207" s="4" t="str">
        <f t="shared" si="9"/>
        <v>November</v>
      </c>
      <c r="O207" s="4" t="str">
        <f t="shared" si="10"/>
        <v>Q4</v>
      </c>
      <c r="P207" s="4">
        <f t="shared" si="11"/>
        <v>2025</v>
      </c>
    </row>
    <row r="208" spans="1:16" x14ac:dyDescent="0.25">
      <c r="A208" s="4">
        <v>207</v>
      </c>
      <c r="B208" s="5">
        <v>45876</v>
      </c>
      <c r="C208" s="4" t="s">
        <v>48</v>
      </c>
      <c r="D208" s="4" t="s">
        <v>13</v>
      </c>
      <c r="E208" s="4" t="s">
        <v>257</v>
      </c>
      <c r="F208" s="4" t="s">
        <v>32</v>
      </c>
      <c r="G208" s="4" t="s">
        <v>29</v>
      </c>
      <c r="H208" s="4">
        <v>7</v>
      </c>
      <c r="I208" s="6">
        <v>7000</v>
      </c>
      <c r="J208" s="6">
        <v>49000</v>
      </c>
      <c r="K208" t="str" cm="1">
        <f t="array" ref="K208">_xlfn.IFS(J208&lt;30000,"Low Value",J208&lt;=100000,"Medium Value",J208&gt;100000,"High Value")</f>
        <v>Medium Value</v>
      </c>
      <c r="L208" s="4" t="s">
        <v>33</v>
      </c>
      <c r="M208" s="4" t="s">
        <v>24</v>
      </c>
      <c r="N208" s="4" t="str">
        <f t="shared" si="9"/>
        <v>August</v>
      </c>
      <c r="O208" s="4" t="str">
        <f t="shared" si="10"/>
        <v>Q3</v>
      </c>
      <c r="P208" s="4">
        <f t="shared" si="11"/>
        <v>2025</v>
      </c>
    </row>
    <row r="209" spans="1:16" x14ac:dyDescent="0.25">
      <c r="A209" s="4">
        <v>208</v>
      </c>
      <c r="B209" s="5">
        <v>45931</v>
      </c>
      <c r="C209" s="4" t="s">
        <v>19</v>
      </c>
      <c r="D209" s="4" t="s">
        <v>36</v>
      </c>
      <c r="E209" s="4" t="s">
        <v>258</v>
      </c>
      <c r="F209" s="4" t="s">
        <v>28</v>
      </c>
      <c r="G209" s="4" t="s">
        <v>29</v>
      </c>
      <c r="H209" s="4">
        <v>2</v>
      </c>
      <c r="I209" s="6">
        <v>3500</v>
      </c>
      <c r="J209" s="6">
        <v>7000</v>
      </c>
      <c r="K209" t="str" cm="1">
        <f t="array" ref="K209">_xlfn.IFS(J209&lt;30000,"Low Value",J209&lt;=100000,"Medium Value",J209&gt;100000,"High Value")</f>
        <v>Low Value</v>
      </c>
      <c r="L209" s="4" t="s">
        <v>17</v>
      </c>
      <c r="M209" s="4" t="s">
        <v>24</v>
      </c>
      <c r="N209" s="4" t="str">
        <f t="shared" si="9"/>
        <v>October</v>
      </c>
      <c r="O209" s="4" t="str">
        <f t="shared" si="10"/>
        <v>Q4</v>
      </c>
      <c r="P209" s="4">
        <f t="shared" si="11"/>
        <v>2025</v>
      </c>
    </row>
    <row r="210" spans="1:16" x14ac:dyDescent="0.25">
      <c r="A210" s="4">
        <v>209</v>
      </c>
      <c r="B210" s="5">
        <v>45770</v>
      </c>
      <c r="C210" s="4" t="s">
        <v>12</v>
      </c>
      <c r="D210" s="4" t="s">
        <v>97</v>
      </c>
      <c r="E210" s="4" t="s">
        <v>259</v>
      </c>
      <c r="F210" s="4" t="s">
        <v>28</v>
      </c>
      <c r="G210" s="4" t="s">
        <v>29</v>
      </c>
      <c r="H210" s="4">
        <v>4</v>
      </c>
      <c r="I210" s="6">
        <v>3500</v>
      </c>
      <c r="J210" s="6">
        <v>14000</v>
      </c>
      <c r="K210" t="str" cm="1">
        <f t="array" ref="K210">_xlfn.IFS(J210&lt;30000,"Low Value",J210&lt;=100000,"Medium Value",J210&gt;100000,"High Value")</f>
        <v>Low Value</v>
      </c>
      <c r="L210" s="4" t="s">
        <v>17</v>
      </c>
      <c r="M210" s="4" t="s">
        <v>54</v>
      </c>
      <c r="N210" s="4" t="str">
        <f t="shared" si="9"/>
        <v>April</v>
      </c>
      <c r="O210" s="4" t="str">
        <f t="shared" si="10"/>
        <v>Q2</v>
      </c>
      <c r="P210" s="4">
        <f t="shared" si="11"/>
        <v>2025</v>
      </c>
    </row>
    <row r="211" spans="1:16" x14ac:dyDescent="0.25">
      <c r="A211" s="4">
        <v>210</v>
      </c>
      <c r="B211" s="5">
        <v>45735</v>
      </c>
      <c r="C211" s="4" t="s">
        <v>48</v>
      </c>
      <c r="D211" s="4" t="s">
        <v>73</v>
      </c>
      <c r="E211" s="4" t="s">
        <v>260</v>
      </c>
      <c r="F211" s="4" t="s">
        <v>40</v>
      </c>
      <c r="G211" s="4" t="s">
        <v>16</v>
      </c>
      <c r="H211" s="4">
        <v>3</v>
      </c>
      <c r="I211" s="6">
        <v>500</v>
      </c>
      <c r="J211" s="6">
        <v>1500</v>
      </c>
      <c r="K211" t="str" cm="1">
        <f t="array" ref="K211">_xlfn.IFS(J211&lt;30000,"Low Value",J211&lt;=100000,"Medium Value",J211&gt;100000,"High Value")</f>
        <v>Low Value</v>
      </c>
      <c r="L211" s="4" t="s">
        <v>33</v>
      </c>
      <c r="M211" s="4" t="s">
        <v>24</v>
      </c>
      <c r="N211" s="4" t="str">
        <f t="shared" si="9"/>
        <v>March</v>
      </c>
      <c r="O211" s="4" t="str">
        <f t="shared" si="10"/>
        <v>Q1</v>
      </c>
      <c r="P211" s="4">
        <f t="shared" si="11"/>
        <v>2025</v>
      </c>
    </row>
    <row r="212" spans="1:16" x14ac:dyDescent="0.25">
      <c r="A212" s="4">
        <v>211</v>
      </c>
      <c r="B212" s="5">
        <v>45900</v>
      </c>
      <c r="C212" s="4" t="s">
        <v>12</v>
      </c>
      <c r="D212" s="4" t="s">
        <v>36</v>
      </c>
      <c r="E212" s="4" t="s">
        <v>261</v>
      </c>
      <c r="F212" s="4" t="s">
        <v>22</v>
      </c>
      <c r="G212" s="4" t="s">
        <v>16</v>
      </c>
      <c r="H212" s="4">
        <v>5</v>
      </c>
      <c r="I212" s="6">
        <v>1200</v>
      </c>
      <c r="J212" s="6">
        <v>6000</v>
      </c>
      <c r="K212" t="str" cm="1">
        <f t="array" ref="K212">_xlfn.IFS(J212&lt;30000,"Low Value",J212&lt;=100000,"Medium Value",J212&gt;100000,"High Value")</f>
        <v>Low Value</v>
      </c>
      <c r="L212" s="4" t="s">
        <v>33</v>
      </c>
      <c r="M212" s="4" t="s">
        <v>24</v>
      </c>
      <c r="N212" s="4" t="str">
        <f t="shared" si="9"/>
        <v>August</v>
      </c>
      <c r="O212" s="4" t="str">
        <f t="shared" si="10"/>
        <v>Q3</v>
      </c>
      <c r="P212" s="4">
        <f t="shared" si="11"/>
        <v>2025</v>
      </c>
    </row>
    <row r="213" spans="1:16" x14ac:dyDescent="0.25">
      <c r="A213" s="4">
        <v>212</v>
      </c>
      <c r="B213" s="5">
        <v>45988</v>
      </c>
      <c r="C213" s="4" t="s">
        <v>34</v>
      </c>
      <c r="D213" s="4" t="s">
        <v>121</v>
      </c>
      <c r="E213" s="4" t="s">
        <v>262</v>
      </c>
      <c r="F213" s="4" t="s">
        <v>28</v>
      </c>
      <c r="G213" s="4" t="s">
        <v>29</v>
      </c>
      <c r="H213" s="4">
        <v>1</v>
      </c>
      <c r="I213" s="6">
        <v>3500</v>
      </c>
      <c r="J213" s="6">
        <v>3500</v>
      </c>
      <c r="K213" t="str" cm="1">
        <f t="array" ref="K213">_xlfn.IFS(J213&lt;30000,"Low Value",J213&lt;=100000,"Medium Value",J213&gt;100000,"High Value")</f>
        <v>Low Value</v>
      </c>
      <c r="L213" s="4" t="s">
        <v>23</v>
      </c>
      <c r="M213" s="4" t="s">
        <v>24</v>
      </c>
      <c r="N213" s="4" t="str">
        <f t="shared" si="9"/>
        <v>November</v>
      </c>
      <c r="O213" s="4" t="str">
        <f t="shared" si="10"/>
        <v>Q4</v>
      </c>
      <c r="P213" s="4">
        <f t="shared" si="11"/>
        <v>2025</v>
      </c>
    </row>
    <row r="214" spans="1:16" x14ac:dyDescent="0.25">
      <c r="A214" s="4">
        <v>213</v>
      </c>
      <c r="B214" s="5">
        <v>45675</v>
      </c>
      <c r="C214" s="4" t="s">
        <v>25</v>
      </c>
      <c r="D214" s="4" t="s">
        <v>73</v>
      </c>
      <c r="E214" s="4" t="s">
        <v>263</v>
      </c>
      <c r="F214" s="4" t="s">
        <v>28</v>
      </c>
      <c r="G214" s="4" t="s">
        <v>29</v>
      </c>
      <c r="H214" s="4">
        <v>6</v>
      </c>
      <c r="I214" s="6">
        <v>3500</v>
      </c>
      <c r="J214" s="6">
        <v>21000</v>
      </c>
      <c r="K214" t="str" cm="1">
        <f t="array" ref="K214">_xlfn.IFS(J214&lt;30000,"Low Value",J214&lt;=100000,"Medium Value",J214&gt;100000,"High Value")</f>
        <v>Low Value</v>
      </c>
      <c r="L214" s="4" t="s">
        <v>17</v>
      </c>
      <c r="M214" s="4" t="s">
        <v>24</v>
      </c>
      <c r="N214" s="4" t="str">
        <f t="shared" si="9"/>
        <v>January</v>
      </c>
      <c r="O214" s="4" t="str">
        <f t="shared" si="10"/>
        <v>Q1</v>
      </c>
      <c r="P214" s="4">
        <f t="shared" si="11"/>
        <v>2025</v>
      </c>
    </row>
    <row r="215" spans="1:16" x14ac:dyDescent="0.25">
      <c r="A215" s="4">
        <v>214</v>
      </c>
      <c r="B215" s="5">
        <v>45753</v>
      </c>
      <c r="C215" s="4" t="s">
        <v>25</v>
      </c>
      <c r="D215" s="4" t="s">
        <v>55</v>
      </c>
      <c r="E215" s="4" t="s">
        <v>264</v>
      </c>
      <c r="F215" s="4" t="s">
        <v>32</v>
      </c>
      <c r="G215" s="4" t="s">
        <v>29</v>
      </c>
      <c r="H215" s="4">
        <v>1</v>
      </c>
      <c r="I215" s="6">
        <v>7000</v>
      </c>
      <c r="J215" s="6">
        <v>7000</v>
      </c>
      <c r="K215" t="str" cm="1">
        <f t="array" ref="K215">_xlfn.IFS(J215&lt;30000,"Low Value",J215&lt;=100000,"Medium Value",J215&gt;100000,"High Value")</f>
        <v>Low Value</v>
      </c>
      <c r="L215" s="4" t="s">
        <v>17</v>
      </c>
      <c r="M215" s="4" t="s">
        <v>24</v>
      </c>
      <c r="N215" s="4" t="str">
        <f t="shared" si="9"/>
        <v>April</v>
      </c>
      <c r="O215" s="4" t="str">
        <f t="shared" si="10"/>
        <v>Q2</v>
      </c>
      <c r="P215" s="4">
        <f t="shared" si="11"/>
        <v>2025</v>
      </c>
    </row>
    <row r="216" spans="1:16" x14ac:dyDescent="0.25">
      <c r="A216" s="4">
        <v>215</v>
      </c>
      <c r="B216" s="5">
        <v>45700</v>
      </c>
      <c r="C216" s="4" t="s">
        <v>19</v>
      </c>
      <c r="D216" s="4" t="s">
        <v>85</v>
      </c>
      <c r="E216" s="4" t="s">
        <v>265</v>
      </c>
      <c r="F216" s="4" t="s">
        <v>28</v>
      </c>
      <c r="G216" s="4" t="s">
        <v>29</v>
      </c>
      <c r="H216" s="4">
        <v>3</v>
      </c>
      <c r="I216" s="6">
        <v>3500</v>
      </c>
      <c r="J216" s="6">
        <v>10500</v>
      </c>
      <c r="K216" t="str" cm="1">
        <f t="array" ref="K216">_xlfn.IFS(J216&lt;30000,"Low Value",J216&lt;=100000,"Medium Value",J216&gt;100000,"High Value")</f>
        <v>Low Value</v>
      </c>
      <c r="L216" s="4" t="s">
        <v>23</v>
      </c>
      <c r="M216" s="4" t="s">
        <v>54</v>
      </c>
      <c r="N216" s="4" t="str">
        <f t="shared" si="9"/>
        <v>February</v>
      </c>
      <c r="O216" s="4" t="str">
        <f t="shared" si="10"/>
        <v>Q1</v>
      </c>
      <c r="P216" s="4">
        <f t="shared" si="11"/>
        <v>2025</v>
      </c>
    </row>
    <row r="217" spans="1:16" x14ac:dyDescent="0.25">
      <c r="A217" s="4">
        <v>216</v>
      </c>
      <c r="B217" s="5">
        <v>45911</v>
      </c>
      <c r="C217" s="4" t="s">
        <v>12</v>
      </c>
      <c r="D217" s="4" t="s">
        <v>121</v>
      </c>
      <c r="E217" s="4" t="s">
        <v>266</v>
      </c>
      <c r="F217" s="4" t="s">
        <v>22</v>
      </c>
      <c r="G217" s="4" t="s">
        <v>16</v>
      </c>
      <c r="H217" s="4">
        <v>9</v>
      </c>
      <c r="I217" s="6">
        <v>1200</v>
      </c>
      <c r="J217" s="6">
        <v>10800</v>
      </c>
      <c r="K217" t="str" cm="1">
        <f t="array" ref="K217">_xlfn.IFS(J217&lt;30000,"Low Value",J217&lt;=100000,"Medium Value",J217&gt;100000,"High Value")</f>
        <v>Low Value</v>
      </c>
      <c r="L217" s="4" t="s">
        <v>43</v>
      </c>
      <c r="M217" s="4" t="s">
        <v>24</v>
      </c>
      <c r="N217" s="4" t="str">
        <f t="shared" si="9"/>
        <v>September</v>
      </c>
      <c r="O217" s="4" t="str">
        <f t="shared" si="10"/>
        <v>Q3</v>
      </c>
      <c r="P217" s="4">
        <f t="shared" si="11"/>
        <v>2025</v>
      </c>
    </row>
    <row r="218" spans="1:16" x14ac:dyDescent="0.25">
      <c r="A218" s="4">
        <v>217</v>
      </c>
      <c r="B218" s="5">
        <v>45695</v>
      </c>
      <c r="C218" s="4" t="s">
        <v>34</v>
      </c>
      <c r="D218" s="4" t="s">
        <v>44</v>
      </c>
      <c r="E218" s="4" t="s">
        <v>228</v>
      </c>
      <c r="F218" s="4" t="s">
        <v>32</v>
      </c>
      <c r="G218" s="4" t="s">
        <v>29</v>
      </c>
      <c r="H218" s="4">
        <v>3</v>
      </c>
      <c r="I218" s="6">
        <v>7000</v>
      </c>
      <c r="J218" s="6">
        <v>21000</v>
      </c>
      <c r="K218" t="str" cm="1">
        <f t="array" ref="K218">_xlfn.IFS(J218&lt;30000,"Low Value",J218&lt;=100000,"Medium Value",J218&gt;100000,"High Value")</f>
        <v>Low Value</v>
      </c>
      <c r="L218" s="4" t="s">
        <v>43</v>
      </c>
      <c r="M218" s="4" t="s">
        <v>24</v>
      </c>
      <c r="N218" s="4" t="str">
        <f t="shared" si="9"/>
        <v>February</v>
      </c>
      <c r="O218" s="4" t="str">
        <f t="shared" si="10"/>
        <v>Q1</v>
      </c>
      <c r="P218" s="4">
        <f t="shared" si="11"/>
        <v>2025</v>
      </c>
    </row>
    <row r="219" spans="1:16" x14ac:dyDescent="0.25">
      <c r="A219" s="4">
        <v>218</v>
      </c>
      <c r="B219" s="5">
        <v>45864</v>
      </c>
      <c r="C219" s="4" t="s">
        <v>12</v>
      </c>
      <c r="D219" s="4" t="s">
        <v>71</v>
      </c>
      <c r="E219" s="4" t="s">
        <v>267</v>
      </c>
      <c r="F219" s="4" t="s">
        <v>40</v>
      </c>
      <c r="G219" s="4" t="s">
        <v>16</v>
      </c>
      <c r="H219" s="4">
        <v>5</v>
      </c>
      <c r="I219" s="6">
        <v>500</v>
      </c>
      <c r="J219" s="6">
        <v>2500</v>
      </c>
      <c r="K219" t="str" cm="1">
        <f t="array" ref="K219">_xlfn.IFS(J219&lt;30000,"Low Value",J219&lt;=100000,"Medium Value",J219&gt;100000,"High Value")</f>
        <v>Low Value</v>
      </c>
      <c r="L219" s="4" t="s">
        <v>43</v>
      </c>
      <c r="M219" s="4" t="s">
        <v>24</v>
      </c>
      <c r="N219" s="4" t="str">
        <f t="shared" si="9"/>
        <v>July</v>
      </c>
      <c r="O219" s="4" t="str">
        <f t="shared" si="10"/>
        <v>Q3</v>
      </c>
      <c r="P219" s="4">
        <f t="shared" si="11"/>
        <v>2025</v>
      </c>
    </row>
    <row r="220" spans="1:16" x14ac:dyDescent="0.25">
      <c r="A220" s="4">
        <v>219</v>
      </c>
      <c r="B220" s="5">
        <v>45880</v>
      </c>
      <c r="C220" s="4" t="s">
        <v>25</v>
      </c>
      <c r="D220" s="4" t="s">
        <v>97</v>
      </c>
      <c r="E220" s="4" t="s">
        <v>268</v>
      </c>
      <c r="F220" s="4" t="s">
        <v>40</v>
      </c>
      <c r="G220" s="4" t="s">
        <v>16</v>
      </c>
      <c r="H220" s="4">
        <v>3</v>
      </c>
      <c r="I220" s="6">
        <v>500</v>
      </c>
      <c r="J220" s="6">
        <v>1500</v>
      </c>
      <c r="K220" t="str" cm="1">
        <f t="array" ref="K220">_xlfn.IFS(J220&lt;30000,"Low Value",J220&lt;=100000,"Medium Value",J220&gt;100000,"High Value")</f>
        <v>Low Value</v>
      </c>
      <c r="L220" s="4" t="s">
        <v>33</v>
      </c>
      <c r="M220" s="4" t="s">
        <v>24</v>
      </c>
      <c r="N220" s="4" t="str">
        <f t="shared" si="9"/>
        <v>August</v>
      </c>
      <c r="O220" s="4" t="str">
        <f t="shared" si="10"/>
        <v>Q3</v>
      </c>
      <c r="P220" s="4">
        <f t="shared" si="11"/>
        <v>2025</v>
      </c>
    </row>
    <row r="221" spans="1:16" x14ac:dyDescent="0.25">
      <c r="A221" s="4">
        <v>220</v>
      </c>
      <c r="B221" s="5">
        <v>45914</v>
      </c>
      <c r="C221" s="4" t="s">
        <v>19</v>
      </c>
      <c r="D221" s="4" t="s">
        <v>49</v>
      </c>
      <c r="E221" s="4" t="s">
        <v>269</v>
      </c>
      <c r="F221" s="4" t="s">
        <v>40</v>
      </c>
      <c r="G221" s="4" t="s">
        <v>16</v>
      </c>
      <c r="H221" s="4">
        <v>1</v>
      </c>
      <c r="I221" s="6">
        <v>500</v>
      </c>
      <c r="J221" s="6">
        <v>500</v>
      </c>
      <c r="K221" t="str" cm="1">
        <f t="array" ref="K221">_xlfn.IFS(J221&lt;30000,"Low Value",J221&lt;=100000,"Medium Value",J221&gt;100000,"High Value")</f>
        <v>Low Value</v>
      </c>
      <c r="L221" s="4" t="s">
        <v>23</v>
      </c>
      <c r="M221" s="4" t="s">
        <v>54</v>
      </c>
      <c r="N221" s="4" t="str">
        <f t="shared" si="9"/>
        <v>September</v>
      </c>
      <c r="O221" s="4" t="str">
        <f t="shared" si="10"/>
        <v>Q3</v>
      </c>
      <c r="P221" s="4">
        <f t="shared" si="11"/>
        <v>2025</v>
      </c>
    </row>
    <row r="222" spans="1:16" x14ac:dyDescent="0.25">
      <c r="A222" s="4">
        <v>221</v>
      </c>
      <c r="B222" s="5">
        <v>45738</v>
      </c>
      <c r="C222" s="4" t="s">
        <v>19</v>
      </c>
      <c r="D222" s="4" t="s">
        <v>121</v>
      </c>
      <c r="E222" s="4" t="s">
        <v>270</v>
      </c>
      <c r="F222" s="4" t="s">
        <v>22</v>
      </c>
      <c r="G222" s="4" t="s">
        <v>16</v>
      </c>
      <c r="H222" s="4">
        <v>3</v>
      </c>
      <c r="I222" s="6">
        <v>1200</v>
      </c>
      <c r="J222" s="6">
        <v>3600</v>
      </c>
      <c r="K222" t="str" cm="1">
        <f t="array" ref="K222">_xlfn.IFS(J222&lt;30000,"Low Value",J222&lt;=100000,"Medium Value",J222&gt;100000,"High Value")</f>
        <v>Low Value</v>
      </c>
      <c r="L222" s="4" t="s">
        <v>43</v>
      </c>
      <c r="M222" s="4" t="s">
        <v>24</v>
      </c>
      <c r="N222" s="4" t="str">
        <f t="shared" si="9"/>
        <v>March</v>
      </c>
      <c r="O222" s="4" t="str">
        <f t="shared" si="10"/>
        <v>Q1</v>
      </c>
      <c r="P222" s="4">
        <f t="shared" si="11"/>
        <v>2025</v>
      </c>
    </row>
    <row r="223" spans="1:16" x14ac:dyDescent="0.25">
      <c r="A223" s="4">
        <v>222</v>
      </c>
      <c r="B223" s="5">
        <v>45787</v>
      </c>
      <c r="C223" s="4" t="s">
        <v>19</v>
      </c>
      <c r="D223" s="4" t="s">
        <v>52</v>
      </c>
      <c r="E223" s="4" t="s">
        <v>271</v>
      </c>
      <c r="F223" s="4" t="s">
        <v>22</v>
      </c>
      <c r="G223" s="4" t="s">
        <v>16</v>
      </c>
      <c r="H223" s="4">
        <v>3</v>
      </c>
      <c r="I223" s="6">
        <v>1200</v>
      </c>
      <c r="J223" s="6">
        <v>3600</v>
      </c>
      <c r="K223" t="str" cm="1">
        <f t="array" ref="K223">_xlfn.IFS(J223&lt;30000,"Low Value",J223&lt;=100000,"Medium Value",J223&gt;100000,"High Value")</f>
        <v>Low Value</v>
      </c>
      <c r="L223" s="4" t="s">
        <v>23</v>
      </c>
      <c r="M223" s="4" t="s">
        <v>24</v>
      </c>
      <c r="N223" s="4" t="str">
        <f t="shared" si="9"/>
        <v>May</v>
      </c>
      <c r="O223" s="4" t="str">
        <f t="shared" si="10"/>
        <v>Q2</v>
      </c>
      <c r="P223" s="4">
        <f t="shared" si="11"/>
        <v>2025</v>
      </c>
    </row>
    <row r="224" spans="1:16" x14ac:dyDescent="0.25">
      <c r="A224" s="4">
        <v>223</v>
      </c>
      <c r="B224" s="5">
        <v>45963</v>
      </c>
      <c r="C224" s="4" t="s">
        <v>12</v>
      </c>
      <c r="D224" s="4" t="s">
        <v>66</v>
      </c>
      <c r="E224" s="4" t="s">
        <v>272</v>
      </c>
      <c r="F224" s="4" t="s">
        <v>15</v>
      </c>
      <c r="G224" s="4" t="s">
        <v>16</v>
      </c>
      <c r="H224" s="4">
        <v>6</v>
      </c>
      <c r="I224" s="6">
        <v>55000</v>
      </c>
      <c r="J224" s="6">
        <v>330000</v>
      </c>
      <c r="K224" t="str" cm="1">
        <f t="array" ref="K224">_xlfn.IFS(J224&lt;30000,"Low Value",J224&lt;=100000,"Medium Value",J224&gt;100000,"High Value")</f>
        <v>High Value</v>
      </c>
      <c r="L224" s="4" t="s">
        <v>43</v>
      </c>
      <c r="M224" s="4" t="s">
        <v>54</v>
      </c>
      <c r="N224" s="4" t="str">
        <f t="shared" si="9"/>
        <v>November</v>
      </c>
      <c r="O224" s="4" t="str">
        <f t="shared" si="10"/>
        <v>Q4</v>
      </c>
      <c r="P224" s="4">
        <f t="shared" si="11"/>
        <v>2025</v>
      </c>
    </row>
    <row r="225" spans="1:16" x14ac:dyDescent="0.25">
      <c r="A225" s="4">
        <v>224</v>
      </c>
      <c r="B225" s="5">
        <v>45787</v>
      </c>
      <c r="C225" s="4" t="s">
        <v>34</v>
      </c>
      <c r="D225" s="4" t="s">
        <v>36</v>
      </c>
      <c r="E225" s="4" t="s">
        <v>273</v>
      </c>
      <c r="F225" s="4" t="s">
        <v>47</v>
      </c>
      <c r="G225" s="4" t="s">
        <v>16</v>
      </c>
      <c r="H225" s="4">
        <v>5</v>
      </c>
      <c r="I225" s="6">
        <v>9000</v>
      </c>
      <c r="J225" s="6">
        <v>45000</v>
      </c>
      <c r="K225" t="str" cm="1">
        <f t="array" ref="K225">_xlfn.IFS(J225&lt;30000,"Low Value",J225&lt;=100000,"Medium Value",J225&gt;100000,"High Value")</f>
        <v>Medium Value</v>
      </c>
      <c r="L225" s="4" t="s">
        <v>33</v>
      </c>
      <c r="M225" s="4" t="s">
        <v>54</v>
      </c>
      <c r="N225" s="4" t="str">
        <f t="shared" si="9"/>
        <v>May</v>
      </c>
      <c r="O225" s="4" t="str">
        <f t="shared" si="10"/>
        <v>Q2</v>
      </c>
      <c r="P225" s="4">
        <f t="shared" si="11"/>
        <v>2025</v>
      </c>
    </row>
    <row r="226" spans="1:16" x14ac:dyDescent="0.25">
      <c r="A226" s="4">
        <v>225</v>
      </c>
      <c r="B226" s="5">
        <v>46020</v>
      </c>
      <c r="C226" s="4" t="s">
        <v>19</v>
      </c>
      <c r="D226" s="4" t="s">
        <v>66</v>
      </c>
      <c r="E226" s="4" t="s">
        <v>274</v>
      </c>
      <c r="F226" s="4" t="s">
        <v>28</v>
      </c>
      <c r="G226" s="4" t="s">
        <v>29</v>
      </c>
      <c r="H226" s="4">
        <v>10</v>
      </c>
      <c r="I226" s="6">
        <v>3500</v>
      </c>
      <c r="J226" s="6">
        <v>35000</v>
      </c>
      <c r="K226" t="str" cm="1">
        <f t="array" ref="K226">_xlfn.IFS(J226&lt;30000,"Low Value",J226&lt;=100000,"Medium Value",J226&gt;100000,"High Value")</f>
        <v>Medium Value</v>
      </c>
      <c r="L226" s="4" t="s">
        <v>43</v>
      </c>
      <c r="M226" s="4" t="s">
        <v>24</v>
      </c>
      <c r="N226" s="4" t="str">
        <f t="shared" si="9"/>
        <v>December</v>
      </c>
      <c r="O226" s="4" t="str">
        <f t="shared" si="10"/>
        <v>Q4</v>
      </c>
      <c r="P226" s="4">
        <f t="shared" si="11"/>
        <v>2025</v>
      </c>
    </row>
    <row r="227" spans="1:16" x14ac:dyDescent="0.25">
      <c r="A227" s="4">
        <v>226</v>
      </c>
      <c r="B227" s="5">
        <v>45898</v>
      </c>
      <c r="C227" s="4" t="s">
        <v>48</v>
      </c>
      <c r="D227" s="4" t="s">
        <v>30</v>
      </c>
      <c r="E227" s="4" t="s">
        <v>275</v>
      </c>
      <c r="F227" s="4" t="s">
        <v>32</v>
      </c>
      <c r="G227" s="4" t="s">
        <v>29</v>
      </c>
      <c r="H227" s="4">
        <v>6</v>
      </c>
      <c r="I227" s="6">
        <v>7000</v>
      </c>
      <c r="J227" s="6">
        <v>42000</v>
      </c>
      <c r="K227" t="str" cm="1">
        <f t="array" ref="K227">_xlfn.IFS(J227&lt;30000,"Low Value",J227&lt;=100000,"Medium Value",J227&gt;100000,"High Value")</f>
        <v>Medium Value</v>
      </c>
      <c r="L227" s="4" t="s">
        <v>43</v>
      </c>
      <c r="M227" s="4" t="s">
        <v>24</v>
      </c>
      <c r="N227" s="4" t="str">
        <f t="shared" si="9"/>
        <v>August</v>
      </c>
      <c r="O227" s="4" t="str">
        <f t="shared" si="10"/>
        <v>Q3</v>
      </c>
      <c r="P227" s="4">
        <f t="shared" si="11"/>
        <v>2025</v>
      </c>
    </row>
    <row r="228" spans="1:16" x14ac:dyDescent="0.25">
      <c r="A228" s="4">
        <v>227</v>
      </c>
      <c r="B228" s="5">
        <v>45843</v>
      </c>
      <c r="C228" s="4" t="s">
        <v>25</v>
      </c>
      <c r="D228" s="4" t="s">
        <v>49</v>
      </c>
      <c r="E228" s="4" t="s">
        <v>276</v>
      </c>
      <c r="F228" s="4" t="s">
        <v>15</v>
      </c>
      <c r="G228" s="4" t="s">
        <v>16</v>
      </c>
      <c r="H228" s="4">
        <v>5</v>
      </c>
      <c r="I228" s="6">
        <v>55000</v>
      </c>
      <c r="J228" s="6">
        <v>275000</v>
      </c>
      <c r="K228" t="str" cm="1">
        <f t="array" ref="K228">_xlfn.IFS(J228&lt;30000,"Low Value",J228&lt;=100000,"Medium Value",J228&gt;100000,"High Value")</f>
        <v>High Value</v>
      </c>
      <c r="L228" s="4" t="s">
        <v>17</v>
      </c>
      <c r="M228" s="4" t="s">
        <v>24</v>
      </c>
      <c r="N228" s="4" t="str">
        <f t="shared" si="9"/>
        <v>July</v>
      </c>
      <c r="O228" s="4" t="str">
        <f t="shared" si="10"/>
        <v>Q3</v>
      </c>
      <c r="P228" s="4">
        <f t="shared" si="11"/>
        <v>2025</v>
      </c>
    </row>
    <row r="229" spans="1:16" x14ac:dyDescent="0.25">
      <c r="A229" s="4">
        <v>228</v>
      </c>
      <c r="B229" s="5">
        <v>45809</v>
      </c>
      <c r="C229" s="4" t="s">
        <v>25</v>
      </c>
      <c r="D229" s="4" t="s">
        <v>71</v>
      </c>
      <c r="E229" s="4" t="s">
        <v>277</v>
      </c>
      <c r="F229" s="4" t="s">
        <v>47</v>
      </c>
      <c r="G229" s="4" t="s">
        <v>16</v>
      </c>
      <c r="H229" s="4">
        <v>5</v>
      </c>
      <c r="I229" s="6">
        <v>9000</v>
      </c>
      <c r="J229" s="6">
        <v>45000</v>
      </c>
      <c r="K229" t="str" cm="1">
        <f t="array" ref="K229">_xlfn.IFS(J229&lt;30000,"Low Value",J229&lt;=100000,"Medium Value",J229&gt;100000,"High Value")</f>
        <v>Medium Value</v>
      </c>
      <c r="L229" s="4" t="s">
        <v>17</v>
      </c>
      <c r="M229" s="4" t="s">
        <v>24</v>
      </c>
      <c r="N229" s="4" t="str">
        <f t="shared" si="9"/>
        <v>June</v>
      </c>
      <c r="O229" s="4" t="str">
        <f t="shared" si="10"/>
        <v>Q2</v>
      </c>
      <c r="P229" s="4">
        <f t="shared" si="11"/>
        <v>2025</v>
      </c>
    </row>
    <row r="230" spans="1:16" x14ac:dyDescent="0.25">
      <c r="A230" s="4">
        <v>229</v>
      </c>
      <c r="B230" s="5">
        <v>45990</v>
      </c>
      <c r="C230" s="4" t="s">
        <v>12</v>
      </c>
      <c r="D230" s="4" t="s">
        <v>52</v>
      </c>
      <c r="E230" s="4" t="s">
        <v>278</v>
      </c>
      <c r="F230" s="4" t="s">
        <v>15</v>
      </c>
      <c r="G230" s="4" t="s">
        <v>16</v>
      </c>
      <c r="H230" s="4">
        <v>8</v>
      </c>
      <c r="I230" s="6">
        <v>55000</v>
      </c>
      <c r="J230" s="6">
        <v>440000</v>
      </c>
      <c r="K230" t="str" cm="1">
        <f t="array" ref="K230">_xlfn.IFS(J230&lt;30000,"Low Value",J230&lt;=100000,"Medium Value",J230&gt;100000,"High Value")</f>
        <v>High Value</v>
      </c>
      <c r="L230" s="4" t="s">
        <v>33</v>
      </c>
      <c r="M230" s="4" t="s">
        <v>18</v>
      </c>
      <c r="N230" s="4" t="str">
        <f t="shared" si="9"/>
        <v>November</v>
      </c>
      <c r="O230" s="4" t="str">
        <f t="shared" si="10"/>
        <v>Q4</v>
      </c>
      <c r="P230" s="4">
        <f t="shared" si="11"/>
        <v>2025</v>
      </c>
    </row>
    <row r="231" spans="1:16" x14ac:dyDescent="0.25">
      <c r="A231" s="4">
        <v>230</v>
      </c>
      <c r="B231" s="5">
        <v>45699</v>
      </c>
      <c r="C231" s="4" t="s">
        <v>48</v>
      </c>
      <c r="D231" s="4" t="s">
        <v>49</v>
      </c>
      <c r="E231" s="4" t="s">
        <v>266</v>
      </c>
      <c r="F231" s="4" t="s">
        <v>47</v>
      </c>
      <c r="G231" s="4" t="s">
        <v>16</v>
      </c>
      <c r="H231" s="4">
        <v>10</v>
      </c>
      <c r="I231" s="6">
        <v>9000</v>
      </c>
      <c r="J231" s="6">
        <v>90000</v>
      </c>
      <c r="K231" t="str" cm="1">
        <f t="array" ref="K231">_xlfn.IFS(J231&lt;30000,"Low Value",J231&lt;=100000,"Medium Value",J231&gt;100000,"High Value")</f>
        <v>Medium Value</v>
      </c>
      <c r="L231" s="4" t="s">
        <v>43</v>
      </c>
      <c r="M231" s="4" t="s">
        <v>24</v>
      </c>
      <c r="N231" s="4" t="str">
        <f t="shared" si="9"/>
        <v>February</v>
      </c>
      <c r="O231" s="4" t="str">
        <f t="shared" si="10"/>
        <v>Q1</v>
      </c>
      <c r="P231" s="4">
        <f t="shared" si="11"/>
        <v>2025</v>
      </c>
    </row>
    <row r="232" spans="1:16" x14ac:dyDescent="0.25">
      <c r="A232" s="4">
        <v>231</v>
      </c>
      <c r="B232" s="5">
        <v>45878</v>
      </c>
      <c r="C232" s="4" t="s">
        <v>25</v>
      </c>
      <c r="D232" s="4" t="s">
        <v>36</v>
      </c>
      <c r="E232" s="4" t="s">
        <v>279</v>
      </c>
      <c r="F232" s="4" t="s">
        <v>28</v>
      </c>
      <c r="G232" s="4" t="s">
        <v>29</v>
      </c>
      <c r="H232" s="4">
        <v>2</v>
      </c>
      <c r="I232" s="6">
        <v>3500</v>
      </c>
      <c r="J232" s="6">
        <v>7000</v>
      </c>
      <c r="K232" t="str" cm="1">
        <f t="array" ref="K232">_xlfn.IFS(J232&lt;30000,"Low Value",J232&lt;=100000,"Medium Value",J232&gt;100000,"High Value")</f>
        <v>Low Value</v>
      </c>
      <c r="L232" s="4" t="s">
        <v>33</v>
      </c>
      <c r="M232" s="4" t="s">
        <v>54</v>
      </c>
      <c r="N232" s="4" t="str">
        <f t="shared" si="9"/>
        <v>August</v>
      </c>
      <c r="O232" s="4" t="str">
        <f t="shared" si="10"/>
        <v>Q3</v>
      </c>
      <c r="P232" s="4">
        <f t="shared" si="11"/>
        <v>2025</v>
      </c>
    </row>
    <row r="233" spans="1:16" x14ac:dyDescent="0.25">
      <c r="A233" s="4">
        <v>232</v>
      </c>
      <c r="B233" s="5">
        <v>45777</v>
      </c>
      <c r="C233" s="4" t="s">
        <v>19</v>
      </c>
      <c r="D233" s="4" t="s">
        <v>121</v>
      </c>
      <c r="E233" s="4" t="s">
        <v>280</v>
      </c>
      <c r="F233" s="4" t="s">
        <v>28</v>
      </c>
      <c r="G233" s="4" t="s">
        <v>29</v>
      </c>
      <c r="H233" s="4">
        <v>6</v>
      </c>
      <c r="I233" s="6">
        <v>3500</v>
      </c>
      <c r="J233" s="6">
        <v>21000</v>
      </c>
      <c r="K233" t="str" cm="1">
        <f t="array" ref="K233">_xlfn.IFS(J233&lt;30000,"Low Value",J233&lt;=100000,"Medium Value",J233&gt;100000,"High Value")</f>
        <v>Low Value</v>
      </c>
      <c r="L233" s="4" t="s">
        <v>33</v>
      </c>
      <c r="M233" s="4" t="s">
        <v>54</v>
      </c>
      <c r="N233" s="4" t="str">
        <f t="shared" si="9"/>
        <v>April</v>
      </c>
      <c r="O233" s="4" t="str">
        <f t="shared" si="10"/>
        <v>Q2</v>
      </c>
      <c r="P233" s="4">
        <f t="shared" si="11"/>
        <v>2025</v>
      </c>
    </row>
    <row r="234" spans="1:16" x14ac:dyDescent="0.25">
      <c r="A234" s="4">
        <v>233</v>
      </c>
      <c r="B234" s="5">
        <v>45992</v>
      </c>
      <c r="C234" s="4" t="s">
        <v>19</v>
      </c>
      <c r="D234" s="4" t="s">
        <v>121</v>
      </c>
      <c r="E234" s="4" t="s">
        <v>281</v>
      </c>
      <c r="F234" s="4" t="s">
        <v>15</v>
      </c>
      <c r="G234" s="4" t="s">
        <v>16</v>
      </c>
      <c r="H234" s="4">
        <v>2</v>
      </c>
      <c r="I234" s="6">
        <v>55000</v>
      </c>
      <c r="J234" s="6">
        <v>110000</v>
      </c>
      <c r="K234" t="str" cm="1">
        <f t="array" ref="K234">_xlfn.IFS(J234&lt;30000,"Low Value",J234&lt;=100000,"Medium Value",J234&gt;100000,"High Value")</f>
        <v>High Value</v>
      </c>
      <c r="L234" s="4" t="s">
        <v>43</v>
      </c>
      <c r="M234" s="4" t="s">
        <v>24</v>
      </c>
      <c r="N234" s="4" t="str">
        <f t="shared" si="9"/>
        <v>December</v>
      </c>
      <c r="O234" s="4" t="str">
        <f t="shared" si="10"/>
        <v>Q4</v>
      </c>
      <c r="P234" s="4">
        <f t="shared" si="11"/>
        <v>2025</v>
      </c>
    </row>
    <row r="235" spans="1:16" x14ac:dyDescent="0.25">
      <c r="A235" s="4">
        <v>234</v>
      </c>
      <c r="B235" s="5">
        <v>45801</v>
      </c>
      <c r="C235" s="4" t="s">
        <v>34</v>
      </c>
      <c r="D235" s="4" t="s">
        <v>30</v>
      </c>
      <c r="E235" s="4" t="s">
        <v>282</v>
      </c>
      <c r="F235" s="4" t="s">
        <v>40</v>
      </c>
      <c r="G235" s="4" t="s">
        <v>16</v>
      </c>
      <c r="H235" s="4">
        <v>1</v>
      </c>
      <c r="I235" s="6">
        <v>500</v>
      </c>
      <c r="J235" s="6">
        <v>500</v>
      </c>
      <c r="K235" t="str" cm="1">
        <f t="array" ref="K235">_xlfn.IFS(J235&lt;30000,"Low Value",J235&lt;=100000,"Medium Value",J235&gt;100000,"High Value")</f>
        <v>Low Value</v>
      </c>
      <c r="L235" s="4" t="s">
        <v>17</v>
      </c>
      <c r="M235" s="4" t="s">
        <v>24</v>
      </c>
      <c r="N235" s="4" t="str">
        <f t="shared" si="9"/>
        <v>May</v>
      </c>
      <c r="O235" s="4" t="str">
        <f t="shared" si="10"/>
        <v>Q2</v>
      </c>
      <c r="P235" s="4">
        <f t="shared" si="11"/>
        <v>2025</v>
      </c>
    </row>
    <row r="236" spans="1:16" x14ac:dyDescent="0.25">
      <c r="A236" s="4">
        <v>235</v>
      </c>
      <c r="B236" s="5">
        <v>45773</v>
      </c>
      <c r="C236" s="4" t="s">
        <v>34</v>
      </c>
      <c r="D236" s="4" t="s">
        <v>121</v>
      </c>
      <c r="E236" s="4" t="s">
        <v>283</v>
      </c>
      <c r="F236" s="4" t="s">
        <v>28</v>
      </c>
      <c r="G236" s="4" t="s">
        <v>29</v>
      </c>
      <c r="H236" s="4">
        <v>1</v>
      </c>
      <c r="I236" s="6">
        <v>3500</v>
      </c>
      <c r="J236" s="6">
        <v>3500</v>
      </c>
      <c r="K236" t="str" cm="1">
        <f t="array" ref="K236">_xlfn.IFS(J236&lt;30000,"Low Value",J236&lt;=100000,"Medium Value",J236&gt;100000,"High Value")</f>
        <v>Low Value</v>
      </c>
      <c r="L236" s="4" t="s">
        <v>33</v>
      </c>
      <c r="M236" s="4" t="s">
        <v>18</v>
      </c>
      <c r="N236" s="4" t="str">
        <f t="shared" si="9"/>
        <v>April</v>
      </c>
      <c r="O236" s="4" t="str">
        <f t="shared" si="10"/>
        <v>Q2</v>
      </c>
      <c r="P236" s="4">
        <f t="shared" si="11"/>
        <v>2025</v>
      </c>
    </row>
    <row r="237" spans="1:16" x14ac:dyDescent="0.25">
      <c r="A237" s="4">
        <v>236</v>
      </c>
      <c r="B237" s="5">
        <v>45943</v>
      </c>
      <c r="C237" s="4" t="s">
        <v>25</v>
      </c>
      <c r="D237" s="4" t="s">
        <v>49</v>
      </c>
      <c r="E237" s="4" t="s">
        <v>284</v>
      </c>
      <c r="F237" s="4" t="s">
        <v>47</v>
      </c>
      <c r="G237" s="4" t="s">
        <v>16</v>
      </c>
      <c r="H237" s="4">
        <v>10</v>
      </c>
      <c r="I237" s="6">
        <v>9000</v>
      </c>
      <c r="J237" s="6">
        <v>90000</v>
      </c>
      <c r="K237" t="str" cm="1">
        <f t="array" ref="K237">_xlfn.IFS(J237&lt;30000,"Low Value",J237&lt;=100000,"Medium Value",J237&gt;100000,"High Value")</f>
        <v>Medium Value</v>
      </c>
      <c r="L237" s="4" t="s">
        <v>17</v>
      </c>
      <c r="M237" s="4" t="s">
        <v>24</v>
      </c>
      <c r="N237" s="4" t="str">
        <f t="shared" si="9"/>
        <v>October</v>
      </c>
      <c r="O237" s="4" t="str">
        <f t="shared" si="10"/>
        <v>Q4</v>
      </c>
      <c r="P237" s="4">
        <f t="shared" si="11"/>
        <v>2025</v>
      </c>
    </row>
    <row r="238" spans="1:16" x14ac:dyDescent="0.25">
      <c r="A238" s="4">
        <v>237</v>
      </c>
      <c r="B238" s="5">
        <v>45814</v>
      </c>
      <c r="C238" s="4" t="s">
        <v>12</v>
      </c>
      <c r="D238" s="4" t="s">
        <v>64</v>
      </c>
      <c r="E238" s="4" t="s">
        <v>285</v>
      </c>
      <c r="F238" s="4" t="s">
        <v>40</v>
      </c>
      <c r="G238" s="4" t="s">
        <v>16</v>
      </c>
      <c r="H238" s="4">
        <v>3</v>
      </c>
      <c r="I238" s="6">
        <v>500</v>
      </c>
      <c r="J238" s="6">
        <v>1500</v>
      </c>
      <c r="K238" t="str" cm="1">
        <f t="array" ref="K238">_xlfn.IFS(J238&lt;30000,"Low Value",J238&lt;=100000,"Medium Value",J238&gt;100000,"High Value")</f>
        <v>Low Value</v>
      </c>
      <c r="L238" s="4" t="s">
        <v>43</v>
      </c>
      <c r="M238" s="4" t="s">
        <v>24</v>
      </c>
      <c r="N238" s="4" t="str">
        <f t="shared" si="9"/>
        <v>June</v>
      </c>
      <c r="O238" s="4" t="str">
        <f t="shared" si="10"/>
        <v>Q2</v>
      </c>
      <c r="P238" s="4">
        <f t="shared" si="11"/>
        <v>2025</v>
      </c>
    </row>
    <row r="239" spans="1:16" x14ac:dyDescent="0.25">
      <c r="A239" s="4">
        <v>238</v>
      </c>
      <c r="B239" s="5">
        <v>45828</v>
      </c>
      <c r="C239" s="4" t="s">
        <v>12</v>
      </c>
      <c r="D239" s="4" t="s">
        <v>41</v>
      </c>
      <c r="E239" s="4" t="s">
        <v>286</v>
      </c>
      <c r="F239" s="4" t="s">
        <v>47</v>
      </c>
      <c r="G239" s="4" t="s">
        <v>16</v>
      </c>
      <c r="H239" s="4">
        <v>8</v>
      </c>
      <c r="I239" s="6">
        <v>9000</v>
      </c>
      <c r="J239" s="6">
        <v>72000</v>
      </c>
      <c r="K239" t="str" cm="1">
        <f t="array" ref="K239">_xlfn.IFS(J239&lt;30000,"Low Value",J239&lt;=100000,"Medium Value",J239&gt;100000,"High Value")</f>
        <v>Medium Value</v>
      </c>
      <c r="L239" s="4" t="s">
        <v>33</v>
      </c>
      <c r="M239" s="4" t="s">
        <v>24</v>
      </c>
      <c r="N239" s="4" t="str">
        <f t="shared" si="9"/>
        <v>June</v>
      </c>
      <c r="O239" s="4" t="str">
        <f t="shared" si="10"/>
        <v>Q2</v>
      </c>
      <c r="P239" s="4">
        <f t="shared" si="11"/>
        <v>2025</v>
      </c>
    </row>
    <row r="240" spans="1:16" x14ac:dyDescent="0.25">
      <c r="A240" s="4">
        <v>239</v>
      </c>
      <c r="B240" s="5">
        <v>45968</v>
      </c>
      <c r="C240" s="4" t="s">
        <v>34</v>
      </c>
      <c r="D240" s="4" t="s">
        <v>121</v>
      </c>
      <c r="E240" s="4" t="s">
        <v>287</v>
      </c>
      <c r="F240" s="4" t="s">
        <v>28</v>
      </c>
      <c r="G240" s="4" t="s">
        <v>29</v>
      </c>
      <c r="H240" s="4">
        <v>8</v>
      </c>
      <c r="I240" s="6">
        <v>3500</v>
      </c>
      <c r="J240" s="6">
        <v>28000</v>
      </c>
      <c r="K240" t="str" cm="1">
        <f t="array" ref="K240">_xlfn.IFS(J240&lt;30000,"Low Value",J240&lt;=100000,"Medium Value",J240&gt;100000,"High Value")</f>
        <v>Low Value</v>
      </c>
      <c r="L240" s="4" t="s">
        <v>23</v>
      </c>
      <c r="M240" s="4" t="s">
        <v>24</v>
      </c>
      <c r="N240" s="4" t="str">
        <f t="shared" si="9"/>
        <v>November</v>
      </c>
      <c r="O240" s="4" t="str">
        <f t="shared" si="10"/>
        <v>Q4</v>
      </c>
      <c r="P240" s="4">
        <f t="shared" si="11"/>
        <v>2025</v>
      </c>
    </row>
    <row r="241" spans="1:16" x14ac:dyDescent="0.25">
      <c r="A241" s="4">
        <v>240</v>
      </c>
      <c r="B241" s="5">
        <v>45988</v>
      </c>
      <c r="C241" s="4" t="s">
        <v>12</v>
      </c>
      <c r="D241" s="4" t="s">
        <v>44</v>
      </c>
      <c r="E241" s="4" t="s">
        <v>288</v>
      </c>
      <c r="F241" s="4" t="s">
        <v>15</v>
      </c>
      <c r="G241" s="4" t="s">
        <v>16</v>
      </c>
      <c r="H241" s="4">
        <v>7</v>
      </c>
      <c r="I241" s="6">
        <v>55000</v>
      </c>
      <c r="J241" s="6">
        <v>385000</v>
      </c>
      <c r="K241" t="str" cm="1">
        <f t="array" ref="K241">_xlfn.IFS(J241&lt;30000,"Low Value",J241&lt;=100000,"Medium Value",J241&gt;100000,"High Value")</f>
        <v>High Value</v>
      </c>
      <c r="L241" s="4" t="s">
        <v>33</v>
      </c>
      <c r="M241" s="4" t="s">
        <v>54</v>
      </c>
      <c r="N241" s="4" t="str">
        <f t="shared" si="9"/>
        <v>November</v>
      </c>
      <c r="O241" s="4" t="str">
        <f t="shared" si="10"/>
        <v>Q4</v>
      </c>
      <c r="P241" s="4">
        <f t="shared" si="11"/>
        <v>2025</v>
      </c>
    </row>
    <row r="242" spans="1:16" x14ac:dyDescent="0.25">
      <c r="A242" s="4">
        <v>241</v>
      </c>
      <c r="B242" s="5">
        <v>45970</v>
      </c>
      <c r="C242" s="4" t="s">
        <v>48</v>
      </c>
      <c r="D242" s="4" t="s">
        <v>85</v>
      </c>
      <c r="E242" s="4" t="s">
        <v>289</v>
      </c>
      <c r="F242" s="4" t="s">
        <v>47</v>
      </c>
      <c r="G242" s="4" t="s">
        <v>16</v>
      </c>
      <c r="H242" s="4">
        <v>8</v>
      </c>
      <c r="I242" s="6">
        <v>9000</v>
      </c>
      <c r="J242" s="6">
        <v>72000</v>
      </c>
      <c r="K242" t="str" cm="1">
        <f t="array" ref="K242">_xlfn.IFS(J242&lt;30000,"Low Value",J242&lt;=100000,"Medium Value",J242&gt;100000,"High Value")</f>
        <v>Medium Value</v>
      </c>
      <c r="L242" s="4" t="s">
        <v>33</v>
      </c>
      <c r="M242" s="4" t="s">
        <v>24</v>
      </c>
      <c r="N242" s="4" t="str">
        <f t="shared" si="9"/>
        <v>November</v>
      </c>
      <c r="O242" s="4" t="str">
        <f t="shared" si="10"/>
        <v>Q4</v>
      </c>
      <c r="P242" s="4">
        <f t="shared" si="11"/>
        <v>2025</v>
      </c>
    </row>
    <row r="243" spans="1:16" x14ac:dyDescent="0.25">
      <c r="A243" s="4">
        <v>242</v>
      </c>
      <c r="B243" s="5">
        <v>45776</v>
      </c>
      <c r="C243" s="4" t="s">
        <v>25</v>
      </c>
      <c r="D243" s="4" t="s">
        <v>71</v>
      </c>
      <c r="E243" s="4" t="s">
        <v>290</v>
      </c>
      <c r="F243" s="4" t="s">
        <v>32</v>
      </c>
      <c r="G243" s="4" t="s">
        <v>29</v>
      </c>
      <c r="H243" s="4">
        <v>7</v>
      </c>
      <c r="I243" s="6">
        <v>7000</v>
      </c>
      <c r="J243" s="6">
        <v>49000</v>
      </c>
      <c r="K243" t="str" cm="1">
        <f t="array" ref="K243">_xlfn.IFS(J243&lt;30000,"Low Value",J243&lt;=100000,"Medium Value",J243&gt;100000,"High Value")</f>
        <v>Medium Value</v>
      </c>
      <c r="L243" s="4" t="s">
        <v>17</v>
      </c>
      <c r="M243" s="4" t="s">
        <v>24</v>
      </c>
      <c r="N243" s="4" t="str">
        <f t="shared" si="9"/>
        <v>April</v>
      </c>
      <c r="O243" s="4" t="str">
        <f t="shared" si="10"/>
        <v>Q2</v>
      </c>
      <c r="P243" s="4">
        <f t="shared" si="11"/>
        <v>2025</v>
      </c>
    </row>
    <row r="244" spans="1:16" x14ac:dyDescent="0.25">
      <c r="A244" s="4">
        <v>243</v>
      </c>
      <c r="B244" s="5">
        <v>45714</v>
      </c>
      <c r="C244" s="4" t="s">
        <v>25</v>
      </c>
      <c r="D244" s="4" t="s">
        <v>97</v>
      </c>
      <c r="E244" s="4" t="s">
        <v>291</v>
      </c>
      <c r="F244" s="4" t="s">
        <v>32</v>
      </c>
      <c r="G244" s="4" t="s">
        <v>29</v>
      </c>
      <c r="H244" s="4">
        <v>9</v>
      </c>
      <c r="I244" s="6">
        <v>7000</v>
      </c>
      <c r="J244" s="6">
        <v>63000</v>
      </c>
      <c r="K244" t="str" cm="1">
        <f t="array" ref="K244">_xlfn.IFS(J244&lt;30000,"Low Value",J244&lt;=100000,"Medium Value",J244&gt;100000,"High Value")</f>
        <v>Medium Value</v>
      </c>
      <c r="L244" s="4" t="s">
        <v>17</v>
      </c>
      <c r="M244" s="4" t="s">
        <v>24</v>
      </c>
      <c r="N244" s="4" t="str">
        <f t="shared" si="9"/>
        <v>February</v>
      </c>
      <c r="O244" s="4" t="str">
        <f t="shared" si="10"/>
        <v>Q1</v>
      </c>
      <c r="P244" s="4">
        <f t="shared" si="11"/>
        <v>2025</v>
      </c>
    </row>
    <row r="245" spans="1:16" x14ac:dyDescent="0.25">
      <c r="A245" s="4">
        <v>244</v>
      </c>
      <c r="B245" s="5">
        <v>45900</v>
      </c>
      <c r="C245" s="4" t="s">
        <v>48</v>
      </c>
      <c r="D245" s="4" t="s">
        <v>71</v>
      </c>
      <c r="E245" s="4" t="s">
        <v>292</v>
      </c>
      <c r="F245" s="4" t="s">
        <v>15</v>
      </c>
      <c r="G245" s="4" t="s">
        <v>16</v>
      </c>
      <c r="H245" s="4">
        <v>4</v>
      </c>
      <c r="I245" s="6">
        <v>55000</v>
      </c>
      <c r="J245" s="6">
        <v>220000</v>
      </c>
      <c r="K245" t="str" cm="1">
        <f t="array" ref="K245">_xlfn.IFS(J245&lt;30000,"Low Value",J245&lt;=100000,"Medium Value",J245&gt;100000,"High Value")</f>
        <v>High Value</v>
      </c>
      <c r="L245" s="4" t="s">
        <v>23</v>
      </c>
      <c r="M245" s="4" t="s">
        <v>24</v>
      </c>
      <c r="N245" s="4" t="str">
        <f t="shared" si="9"/>
        <v>August</v>
      </c>
      <c r="O245" s="4" t="str">
        <f t="shared" si="10"/>
        <v>Q3</v>
      </c>
      <c r="P245" s="4">
        <f t="shared" si="11"/>
        <v>2025</v>
      </c>
    </row>
    <row r="246" spans="1:16" x14ac:dyDescent="0.25">
      <c r="A246" s="4">
        <v>245</v>
      </c>
      <c r="B246" s="5">
        <v>45783</v>
      </c>
      <c r="C246" s="4" t="s">
        <v>12</v>
      </c>
      <c r="D246" s="4" t="s">
        <v>97</v>
      </c>
      <c r="E246" s="4" t="s">
        <v>293</v>
      </c>
      <c r="F246" s="4" t="s">
        <v>32</v>
      </c>
      <c r="G246" s="4" t="s">
        <v>29</v>
      </c>
      <c r="H246" s="4">
        <v>10</v>
      </c>
      <c r="I246" s="6">
        <v>7000</v>
      </c>
      <c r="J246" s="6">
        <v>70000</v>
      </c>
      <c r="K246" t="str" cm="1">
        <f t="array" ref="K246">_xlfn.IFS(J246&lt;30000,"Low Value",J246&lt;=100000,"Medium Value",J246&gt;100000,"High Value")</f>
        <v>Medium Value</v>
      </c>
      <c r="L246" s="4" t="s">
        <v>33</v>
      </c>
      <c r="M246" s="4" t="s">
        <v>24</v>
      </c>
      <c r="N246" s="4" t="str">
        <f t="shared" si="9"/>
        <v>May</v>
      </c>
      <c r="O246" s="4" t="str">
        <f t="shared" si="10"/>
        <v>Q2</v>
      </c>
      <c r="P246" s="4">
        <f t="shared" si="11"/>
        <v>2025</v>
      </c>
    </row>
    <row r="247" spans="1:16" x14ac:dyDescent="0.25">
      <c r="A247" s="4">
        <v>246</v>
      </c>
      <c r="B247" s="5">
        <v>45686</v>
      </c>
      <c r="C247" s="4" t="s">
        <v>12</v>
      </c>
      <c r="D247" s="4" t="s">
        <v>66</v>
      </c>
      <c r="E247" s="4" t="s">
        <v>294</v>
      </c>
      <c r="F247" s="4" t="s">
        <v>28</v>
      </c>
      <c r="G247" s="4" t="s">
        <v>29</v>
      </c>
      <c r="H247" s="4">
        <v>7</v>
      </c>
      <c r="I247" s="6">
        <v>3500</v>
      </c>
      <c r="J247" s="6">
        <v>24500</v>
      </c>
      <c r="K247" t="str" cm="1">
        <f t="array" ref="K247">_xlfn.IFS(J247&lt;30000,"Low Value",J247&lt;=100000,"Medium Value",J247&gt;100000,"High Value")</f>
        <v>Low Value</v>
      </c>
      <c r="L247" s="4" t="s">
        <v>23</v>
      </c>
      <c r="M247" s="4" t="s">
        <v>24</v>
      </c>
      <c r="N247" s="4" t="str">
        <f t="shared" si="9"/>
        <v>January</v>
      </c>
      <c r="O247" s="4" t="str">
        <f t="shared" si="10"/>
        <v>Q1</v>
      </c>
      <c r="P247" s="4">
        <f t="shared" si="11"/>
        <v>2025</v>
      </c>
    </row>
    <row r="248" spans="1:16" x14ac:dyDescent="0.25">
      <c r="A248" s="4">
        <v>247</v>
      </c>
      <c r="B248" s="5">
        <v>45967</v>
      </c>
      <c r="C248" s="4" t="s">
        <v>19</v>
      </c>
      <c r="D248" s="4" t="s">
        <v>44</v>
      </c>
      <c r="E248" s="4" t="s">
        <v>295</v>
      </c>
      <c r="F248" s="4" t="s">
        <v>15</v>
      </c>
      <c r="G248" s="4" t="s">
        <v>16</v>
      </c>
      <c r="H248" s="4">
        <v>1</v>
      </c>
      <c r="I248" s="6">
        <v>55000</v>
      </c>
      <c r="J248" s="6">
        <v>55000</v>
      </c>
      <c r="K248" t="str" cm="1">
        <f t="array" ref="K248">_xlfn.IFS(J248&lt;30000,"Low Value",J248&lt;=100000,"Medium Value",J248&gt;100000,"High Value")</f>
        <v>Medium Value</v>
      </c>
      <c r="L248" s="4" t="s">
        <v>33</v>
      </c>
      <c r="M248" s="4" t="s">
        <v>24</v>
      </c>
      <c r="N248" s="4" t="str">
        <f t="shared" si="9"/>
        <v>November</v>
      </c>
      <c r="O248" s="4" t="str">
        <f t="shared" si="10"/>
        <v>Q4</v>
      </c>
      <c r="P248" s="4">
        <f t="shared" si="11"/>
        <v>2025</v>
      </c>
    </row>
    <row r="249" spans="1:16" x14ac:dyDescent="0.25">
      <c r="A249" s="4">
        <v>248</v>
      </c>
      <c r="B249" s="5">
        <v>46013</v>
      </c>
      <c r="C249" s="4" t="s">
        <v>19</v>
      </c>
      <c r="D249" s="4" t="s">
        <v>44</v>
      </c>
      <c r="E249" s="4" t="s">
        <v>296</v>
      </c>
      <c r="F249" s="4" t="s">
        <v>22</v>
      </c>
      <c r="G249" s="4" t="s">
        <v>16</v>
      </c>
      <c r="H249" s="4">
        <v>10</v>
      </c>
      <c r="I249" s="6">
        <v>1200</v>
      </c>
      <c r="J249" s="6">
        <v>12000</v>
      </c>
      <c r="K249" t="str" cm="1">
        <f t="array" ref="K249">_xlfn.IFS(J249&lt;30000,"Low Value",J249&lt;=100000,"Medium Value",J249&gt;100000,"High Value")</f>
        <v>Low Value</v>
      </c>
      <c r="L249" s="4" t="s">
        <v>23</v>
      </c>
      <c r="M249" s="4" t="s">
        <v>54</v>
      </c>
      <c r="N249" s="4" t="str">
        <f t="shared" si="9"/>
        <v>December</v>
      </c>
      <c r="O249" s="4" t="str">
        <f t="shared" si="10"/>
        <v>Q4</v>
      </c>
      <c r="P249" s="4">
        <f t="shared" si="11"/>
        <v>2025</v>
      </c>
    </row>
    <row r="250" spans="1:16" x14ac:dyDescent="0.25">
      <c r="A250" s="4">
        <v>249</v>
      </c>
      <c r="B250" s="5">
        <v>45781</v>
      </c>
      <c r="C250" s="4" t="s">
        <v>12</v>
      </c>
      <c r="D250" s="4" t="s">
        <v>38</v>
      </c>
      <c r="E250" s="4" t="s">
        <v>297</v>
      </c>
      <c r="F250" s="4" t="s">
        <v>28</v>
      </c>
      <c r="G250" s="4" t="s">
        <v>29</v>
      </c>
      <c r="H250" s="4">
        <v>10</v>
      </c>
      <c r="I250" s="6">
        <v>3500</v>
      </c>
      <c r="J250" s="6">
        <v>35000</v>
      </c>
      <c r="K250" t="str" cm="1">
        <f t="array" ref="K250">_xlfn.IFS(J250&lt;30000,"Low Value",J250&lt;=100000,"Medium Value",J250&gt;100000,"High Value")</f>
        <v>Medium Value</v>
      </c>
      <c r="L250" s="4" t="s">
        <v>43</v>
      </c>
      <c r="M250" s="4" t="s">
        <v>24</v>
      </c>
      <c r="N250" s="4" t="str">
        <f t="shared" si="9"/>
        <v>May</v>
      </c>
      <c r="O250" s="4" t="str">
        <f t="shared" si="10"/>
        <v>Q2</v>
      </c>
      <c r="P250" s="4">
        <f t="shared" si="11"/>
        <v>2025</v>
      </c>
    </row>
    <row r="251" spans="1:16" x14ac:dyDescent="0.25">
      <c r="A251" s="4">
        <v>250</v>
      </c>
      <c r="B251" s="5">
        <v>45994</v>
      </c>
      <c r="C251" s="4" t="s">
        <v>34</v>
      </c>
      <c r="D251" s="4" t="s">
        <v>41</v>
      </c>
      <c r="E251" s="4" t="s">
        <v>298</v>
      </c>
      <c r="F251" s="4" t="s">
        <v>22</v>
      </c>
      <c r="G251" s="4" t="s">
        <v>16</v>
      </c>
      <c r="H251" s="4">
        <v>1</v>
      </c>
      <c r="I251" s="6">
        <v>1200</v>
      </c>
      <c r="J251" s="6">
        <v>1200</v>
      </c>
      <c r="K251" t="str" cm="1">
        <f t="array" ref="K251">_xlfn.IFS(J251&lt;30000,"Low Value",J251&lt;=100000,"Medium Value",J251&gt;100000,"High Value")</f>
        <v>Low Value</v>
      </c>
      <c r="L251" s="4" t="s">
        <v>23</v>
      </c>
      <c r="M251" s="4" t="s">
        <v>54</v>
      </c>
      <c r="N251" s="4" t="str">
        <f t="shared" si="9"/>
        <v>December</v>
      </c>
      <c r="O251" s="4" t="str">
        <f t="shared" si="10"/>
        <v>Q4</v>
      </c>
      <c r="P251" s="4">
        <f t="shared" si="11"/>
        <v>2025</v>
      </c>
    </row>
    <row r="252" spans="1:16" x14ac:dyDescent="0.25">
      <c r="A252" s="4">
        <v>251</v>
      </c>
      <c r="B252" s="5">
        <v>45796</v>
      </c>
      <c r="C252" s="4" t="s">
        <v>34</v>
      </c>
      <c r="D252" s="4" t="s">
        <v>97</v>
      </c>
      <c r="E252" s="4" t="s">
        <v>299</v>
      </c>
      <c r="F252" s="4" t="s">
        <v>22</v>
      </c>
      <c r="G252" s="4" t="s">
        <v>16</v>
      </c>
      <c r="H252" s="4">
        <v>8</v>
      </c>
      <c r="I252" s="6">
        <v>1200</v>
      </c>
      <c r="J252" s="6">
        <v>9600</v>
      </c>
      <c r="K252" t="str" cm="1">
        <f t="array" ref="K252">_xlfn.IFS(J252&lt;30000,"Low Value",J252&lt;=100000,"Medium Value",J252&gt;100000,"High Value")</f>
        <v>Low Value</v>
      </c>
      <c r="L252" s="4" t="s">
        <v>43</v>
      </c>
      <c r="M252" s="4" t="s">
        <v>24</v>
      </c>
      <c r="N252" s="4" t="str">
        <f t="shared" si="9"/>
        <v>May</v>
      </c>
      <c r="O252" s="4" t="str">
        <f t="shared" si="10"/>
        <v>Q2</v>
      </c>
      <c r="P252" s="4">
        <f t="shared" si="11"/>
        <v>2025</v>
      </c>
    </row>
    <row r="253" spans="1:16" x14ac:dyDescent="0.25">
      <c r="A253" s="4">
        <v>252</v>
      </c>
      <c r="B253" s="5">
        <v>45750</v>
      </c>
      <c r="C253" s="4" t="s">
        <v>25</v>
      </c>
      <c r="D253" s="4" t="s">
        <v>73</v>
      </c>
      <c r="E253" s="4" t="s">
        <v>300</v>
      </c>
      <c r="F253" s="4" t="s">
        <v>15</v>
      </c>
      <c r="G253" s="4" t="s">
        <v>16</v>
      </c>
      <c r="H253" s="4">
        <v>5</v>
      </c>
      <c r="I253" s="6">
        <v>55000</v>
      </c>
      <c r="J253" s="6">
        <v>275000</v>
      </c>
      <c r="K253" t="str" cm="1">
        <f t="array" ref="K253">_xlfn.IFS(J253&lt;30000,"Low Value",J253&lt;=100000,"Medium Value",J253&gt;100000,"High Value")</f>
        <v>High Value</v>
      </c>
      <c r="L253" s="4" t="s">
        <v>43</v>
      </c>
      <c r="M253" s="4" t="s">
        <v>54</v>
      </c>
      <c r="N253" s="4" t="str">
        <f t="shared" si="9"/>
        <v>April</v>
      </c>
      <c r="O253" s="4" t="str">
        <f t="shared" si="10"/>
        <v>Q2</v>
      </c>
      <c r="P253" s="4">
        <f t="shared" si="11"/>
        <v>2025</v>
      </c>
    </row>
    <row r="254" spans="1:16" x14ac:dyDescent="0.25">
      <c r="A254" s="4">
        <v>253</v>
      </c>
      <c r="B254" s="5">
        <v>45760</v>
      </c>
      <c r="C254" s="4" t="s">
        <v>12</v>
      </c>
      <c r="D254" s="4" t="s">
        <v>44</v>
      </c>
      <c r="E254" s="4" t="s">
        <v>301</v>
      </c>
      <c r="F254" s="4" t="s">
        <v>28</v>
      </c>
      <c r="G254" s="4" t="s">
        <v>29</v>
      </c>
      <c r="H254" s="4">
        <v>1</v>
      </c>
      <c r="I254" s="6">
        <v>3500</v>
      </c>
      <c r="J254" s="6">
        <v>3500</v>
      </c>
      <c r="K254" t="str" cm="1">
        <f t="array" ref="K254">_xlfn.IFS(J254&lt;30000,"Low Value",J254&lt;=100000,"Medium Value",J254&gt;100000,"High Value")</f>
        <v>Low Value</v>
      </c>
      <c r="L254" s="4" t="s">
        <v>23</v>
      </c>
      <c r="M254" s="4" t="s">
        <v>24</v>
      </c>
      <c r="N254" s="4" t="str">
        <f t="shared" si="9"/>
        <v>April</v>
      </c>
      <c r="O254" s="4" t="str">
        <f t="shared" si="10"/>
        <v>Q2</v>
      </c>
      <c r="P254" s="4">
        <f t="shared" si="11"/>
        <v>2025</v>
      </c>
    </row>
    <row r="255" spans="1:16" x14ac:dyDescent="0.25">
      <c r="A255" s="4">
        <v>254</v>
      </c>
      <c r="B255" s="5">
        <v>45988</v>
      </c>
      <c r="C255" s="4" t="s">
        <v>12</v>
      </c>
      <c r="D255" s="4" t="s">
        <v>97</v>
      </c>
      <c r="E255" s="4" t="s">
        <v>302</v>
      </c>
      <c r="F255" s="4" t="s">
        <v>22</v>
      </c>
      <c r="G255" s="4" t="s">
        <v>16</v>
      </c>
      <c r="H255" s="4">
        <v>3</v>
      </c>
      <c r="I255" s="6">
        <v>1200</v>
      </c>
      <c r="J255" s="6">
        <v>3600</v>
      </c>
      <c r="K255" t="str" cm="1">
        <f t="array" ref="K255">_xlfn.IFS(J255&lt;30000,"Low Value",J255&lt;=100000,"Medium Value",J255&gt;100000,"High Value")</f>
        <v>Low Value</v>
      </c>
      <c r="L255" s="4" t="s">
        <v>23</v>
      </c>
      <c r="M255" s="4" t="s">
        <v>24</v>
      </c>
      <c r="N255" s="4" t="str">
        <f t="shared" si="9"/>
        <v>November</v>
      </c>
      <c r="O255" s="4" t="str">
        <f t="shared" si="10"/>
        <v>Q4</v>
      </c>
      <c r="P255" s="4">
        <f t="shared" si="11"/>
        <v>2025</v>
      </c>
    </row>
    <row r="256" spans="1:16" x14ac:dyDescent="0.25">
      <c r="A256" s="4">
        <v>255</v>
      </c>
      <c r="B256" s="5">
        <v>45944</v>
      </c>
      <c r="C256" s="4" t="s">
        <v>34</v>
      </c>
      <c r="D256" s="4" t="s">
        <v>64</v>
      </c>
      <c r="E256" s="4" t="s">
        <v>303</v>
      </c>
      <c r="F256" s="4" t="s">
        <v>28</v>
      </c>
      <c r="G256" s="4" t="s">
        <v>29</v>
      </c>
      <c r="H256" s="4">
        <v>5</v>
      </c>
      <c r="I256" s="6">
        <v>3500</v>
      </c>
      <c r="J256" s="6">
        <v>17500</v>
      </c>
      <c r="K256" t="str" cm="1">
        <f t="array" ref="K256">_xlfn.IFS(J256&lt;30000,"Low Value",J256&lt;=100000,"Medium Value",J256&gt;100000,"High Value")</f>
        <v>Low Value</v>
      </c>
      <c r="L256" s="4" t="s">
        <v>17</v>
      </c>
      <c r="M256" s="4" t="s">
        <v>54</v>
      </c>
      <c r="N256" s="4" t="str">
        <f t="shared" si="9"/>
        <v>October</v>
      </c>
      <c r="O256" s="4" t="str">
        <f t="shared" si="10"/>
        <v>Q4</v>
      </c>
      <c r="P256" s="4">
        <f t="shared" si="11"/>
        <v>2025</v>
      </c>
    </row>
    <row r="257" spans="1:16" x14ac:dyDescent="0.25">
      <c r="A257" s="4">
        <v>256</v>
      </c>
      <c r="B257" s="5">
        <v>45697</v>
      </c>
      <c r="C257" s="4" t="s">
        <v>48</v>
      </c>
      <c r="D257" s="4" t="s">
        <v>36</v>
      </c>
      <c r="E257" s="4" t="s">
        <v>304</v>
      </c>
      <c r="F257" s="4" t="s">
        <v>22</v>
      </c>
      <c r="G257" s="4" t="s">
        <v>16</v>
      </c>
      <c r="H257" s="4">
        <v>7</v>
      </c>
      <c r="I257" s="6">
        <v>1200</v>
      </c>
      <c r="J257" s="6">
        <v>8400</v>
      </c>
      <c r="K257" t="str" cm="1">
        <f t="array" ref="K257">_xlfn.IFS(J257&lt;30000,"Low Value",J257&lt;=100000,"Medium Value",J257&gt;100000,"High Value")</f>
        <v>Low Value</v>
      </c>
      <c r="L257" s="4" t="s">
        <v>43</v>
      </c>
      <c r="M257" s="4" t="s">
        <v>24</v>
      </c>
      <c r="N257" s="4" t="str">
        <f t="shared" si="9"/>
        <v>February</v>
      </c>
      <c r="O257" s="4" t="str">
        <f t="shared" si="10"/>
        <v>Q1</v>
      </c>
      <c r="P257" s="4">
        <f t="shared" si="11"/>
        <v>2025</v>
      </c>
    </row>
    <row r="258" spans="1:16" x14ac:dyDescent="0.25">
      <c r="A258" s="4">
        <v>257</v>
      </c>
      <c r="B258" s="5">
        <v>45965</v>
      </c>
      <c r="C258" s="4" t="s">
        <v>34</v>
      </c>
      <c r="D258" s="4" t="s">
        <v>26</v>
      </c>
      <c r="E258" s="4" t="s">
        <v>305</v>
      </c>
      <c r="F258" s="4" t="s">
        <v>32</v>
      </c>
      <c r="G258" s="4" t="s">
        <v>29</v>
      </c>
      <c r="H258" s="4">
        <v>6</v>
      </c>
      <c r="I258" s="6">
        <v>7000</v>
      </c>
      <c r="J258" s="6">
        <v>42000</v>
      </c>
      <c r="K258" t="str" cm="1">
        <f t="array" ref="K258">_xlfn.IFS(J258&lt;30000,"Low Value",J258&lt;=100000,"Medium Value",J258&gt;100000,"High Value")</f>
        <v>Medium Value</v>
      </c>
      <c r="L258" s="4" t="s">
        <v>43</v>
      </c>
      <c r="M258" s="4" t="s">
        <v>24</v>
      </c>
      <c r="N258" s="4" t="str">
        <f t="shared" si="9"/>
        <v>November</v>
      </c>
      <c r="O258" s="4" t="str">
        <f t="shared" si="10"/>
        <v>Q4</v>
      </c>
      <c r="P258" s="4">
        <f t="shared" si="11"/>
        <v>2025</v>
      </c>
    </row>
    <row r="259" spans="1:16" x14ac:dyDescent="0.25">
      <c r="A259" s="4">
        <v>258</v>
      </c>
      <c r="B259" s="5">
        <v>45890</v>
      </c>
      <c r="C259" s="4" t="s">
        <v>25</v>
      </c>
      <c r="D259" s="4" t="s">
        <v>13</v>
      </c>
      <c r="E259" s="4" t="s">
        <v>306</v>
      </c>
      <c r="F259" s="4" t="s">
        <v>32</v>
      </c>
      <c r="G259" s="4" t="s">
        <v>29</v>
      </c>
      <c r="H259" s="4">
        <v>10</v>
      </c>
      <c r="I259" s="6">
        <v>7000</v>
      </c>
      <c r="J259" s="6">
        <v>70000</v>
      </c>
      <c r="K259" t="str" cm="1">
        <f t="array" ref="K259">_xlfn.IFS(J259&lt;30000,"Low Value",J259&lt;=100000,"Medium Value",J259&gt;100000,"High Value")</f>
        <v>Medium Value</v>
      </c>
      <c r="L259" s="4" t="s">
        <v>23</v>
      </c>
      <c r="M259" s="4" t="s">
        <v>24</v>
      </c>
      <c r="N259" s="4" t="str">
        <f t="shared" ref="N259:N322" si="12">TEXT(B259,"MMMM")</f>
        <v>August</v>
      </c>
      <c r="O259" s="4" t="str">
        <f t="shared" ref="O259:O322" si="13">"Q"&amp;ROUNDUP(MONTH(B259)/3,0)</f>
        <v>Q3</v>
      </c>
      <c r="P259" s="4">
        <f t="shared" ref="P259:P322" si="14">YEAR(B:B)</f>
        <v>2025</v>
      </c>
    </row>
    <row r="260" spans="1:16" x14ac:dyDescent="0.25">
      <c r="A260" s="4">
        <v>259</v>
      </c>
      <c r="B260" s="5">
        <v>45828</v>
      </c>
      <c r="C260" s="4" t="s">
        <v>12</v>
      </c>
      <c r="D260" s="4" t="s">
        <v>97</v>
      </c>
      <c r="E260" s="4" t="s">
        <v>307</v>
      </c>
      <c r="F260" s="4" t="s">
        <v>15</v>
      </c>
      <c r="G260" s="4" t="s">
        <v>16</v>
      </c>
      <c r="H260" s="4">
        <v>9</v>
      </c>
      <c r="I260" s="6">
        <v>55000</v>
      </c>
      <c r="J260" s="6">
        <v>495000</v>
      </c>
      <c r="K260" t="str" cm="1">
        <f t="array" ref="K260">_xlfn.IFS(J260&lt;30000,"Low Value",J260&lt;=100000,"Medium Value",J260&gt;100000,"High Value")</f>
        <v>High Value</v>
      </c>
      <c r="L260" s="4" t="s">
        <v>33</v>
      </c>
      <c r="M260" s="4" t="s">
        <v>24</v>
      </c>
      <c r="N260" s="4" t="str">
        <f t="shared" si="12"/>
        <v>June</v>
      </c>
      <c r="O260" s="4" t="str">
        <f t="shared" si="13"/>
        <v>Q2</v>
      </c>
      <c r="P260" s="4">
        <f t="shared" si="14"/>
        <v>2025</v>
      </c>
    </row>
    <row r="261" spans="1:16" x14ac:dyDescent="0.25">
      <c r="A261" s="4">
        <v>260</v>
      </c>
      <c r="B261" s="5">
        <v>45678</v>
      </c>
      <c r="C261" s="4" t="s">
        <v>19</v>
      </c>
      <c r="D261" s="4" t="s">
        <v>41</v>
      </c>
      <c r="E261" s="4" t="s">
        <v>163</v>
      </c>
      <c r="F261" s="4" t="s">
        <v>22</v>
      </c>
      <c r="G261" s="4" t="s">
        <v>16</v>
      </c>
      <c r="H261" s="4">
        <v>4</v>
      </c>
      <c r="I261" s="6">
        <v>1200</v>
      </c>
      <c r="J261" s="6">
        <v>4800</v>
      </c>
      <c r="K261" t="str" cm="1">
        <f t="array" ref="K261">_xlfn.IFS(J261&lt;30000,"Low Value",J261&lt;=100000,"Medium Value",J261&gt;100000,"High Value")</f>
        <v>Low Value</v>
      </c>
      <c r="L261" s="4" t="s">
        <v>33</v>
      </c>
      <c r="M261" s="4" t="s">
        <v>54</v>
      </c>
      <c r="N261" s="4" t="str">
        <f t="shared" si="12"/>
        <v>January</v>
      </c>
      <c r="O261" s="4" t="str">
        <f t="shared" si="13"/>
        <v>Q1</v>
      </c>
      <c r="P261" s="4">
        <f t="shared" si="14"/>
        <v>2025</v>
      </c>
    </row>
    <row r="262" spans="1:16" x14ac:dyDescent="0.25">
      <c r="A262" s="4">
        <v>261</v>
      </c>
      <c r="B262" s="5">
        <v>45662</v>
      </c>
      <c r="C262" s="4" t="s">
        <v>34</v>
      </c>
      <c r="D262" s="4" t="s">
        <v>38</v>
      </c>
      <c r="E262" s="4" t="s">
        <v>308</v>
      </c>
      <c r="F262" s="4" t="s">
        <v>15</v>
      </c>
      <c r="G262" s="4" t="s">
        <v>16</v>
      </c>
      <c r="H262" s="4">
        <v>8</v>
      </c>
      <c r="I262" s="6">
        <v>55000</v>
      </c>
      <c r="J262" s="6">
        <v>440000</v>
      </c>
      <c r="K262" t="str" cm="1">
        <f t="array" ref="K262">_xlfn.IFS(J262&lt;30000,"Low Value",J262&lt;=100000,"Medium Value",J262&gt;100000,"High Value")</f>
        <v>High Value</v>
      </c>
      <c r="L262" s="4" t="s">
        <v>17</v>
      </c>
      <c r="M262" s="4" t="s">
        <v>24</v>
      </c>
      <c r="N262" s="4" t="str">
        <f t="shared" si="12"/>
        <v>January</v>
      </c>
      <c r="O262" s="4" t="str">
        <f t="shared" si="13"/>
        <v>Q1</v>
      </c>
      <c r="P262" s="4">
        <f t="shared" si="14"/>
        <v>2025</v>
      </c>
    </row>
    <row r="263" spans="1:16" x14ac:dyDescent="0.25">
      <c r="A263" s="4">
        <v>262</v>
      </c>
      <c r="B263" s="5">
        <v>45833</v>
      </c>
      <c r="C263" s="4" t="s">
        <v>12</v>
      </c>
      <c r="D263" s="4" t="s">
        <v>41</v>
      </c>
      <c r="E263" s="4" t="s">
        <v>309</v>
      </c>
      <c r="F263" s="4" t="s">
        <v>40</v>
      </c>
      <c r="G263" s="4" t="s">
        <v>16</v>
      </c>
      <c r="H263" s="4">
        <v>4</v>
      </c>
      <c r="I263" s="6">
        <v>500</v>
      </c>
      <c r="J263" s="6">
        <v>2000</v>
      </c>
      <c r="K263" t="str" cm="1">
        <f t="array" ref="K263">_xlfn.IFS(J263&lt;30000,"Low Value",J263&lt;=100000,"Medium Value",J263&gt;100000,"High Value")</f>
        <v>Low Value</v>
      </c>
      <c r="L263" s="4" t="s">
        <v>33</v>
      </c>
      <c r="M263" s="4" t="s">
        <v>24</v>
      </c>
      <c r="N263" s="4" t="str">
        <f t="shared" si="12"/>
        <v>June</v>
      </c>
      <c r="O263" s="4" t="str">
        <f t="shared" si="13"/>
        <v>Q2</v>
      </c>
      <c r="P263" s="4">
        <f t="shared" si="14"/>
        <v>2025</v>
      </c>
    </row>
    <row r="264" spans="1:16" x14ac:dyDescent="0.25">
      <c r="A264" s="4">
        <v>263</v>
      </c>
      <c r="B264" s="5">
        <v>45849</v>
      </c>
      <c r="C264" s="4" t="s">
        <v>34</v>
      </c>
      <c r="D264" s="4" t="s">
        <v>38</v>
      </c>
      <c r="E264" s="4" t="s">
        <v>310</v>
      </c>
      <c r="F264" s="4" t="s">
        <v>15</v>
      </c>
      <c r="G264" s="4" t="s">
        <v>16</v>
      </c>
      <c r="H264" s="4">
        <v>7</v>
      </c>
      <c r="I264" s="6">
        <v>55000</v>
      </c>
      <c r="J264" s="6">
        <v>385000</v>
      </c>
      <c r="K264" t="str" cm="1">
        <f t="array" ref="K264">_xlfn.IFS(J264&lt;30000,"Low Value",J264&lt;=100000,"Medium Value",J264&gt;100000,"High Value")</f>
        <v>High Value</v>
      </c>
      <c r="L264" s="4" t="s">
        <v>43</v>
      </c>
      <c r="M264" s="4" t="s">
        <v>24</v>
      </c>
      <c r="N264" s="4" t="str">
        <f t="shared" si="12"/>
        <v>July</v>
      </c>
      <c r="O264" s="4" t="str">
        <f t="shared" si="13"/>
        <v>Q3</v>
      </c>
      <c r="P264" s="4">
        <f t="shared" si="14"/>
        <v>2025</v>
      </c>
    </row>
    <row r="265" spans="1:16" x14ac:dyDescent="0.25">
      <c r="A265" s="4">
        <v>264</v>
      </c>
      <c r="B265" s="5">
        <v>46011</v>
      </c>
      <c r="C265" s="4" t="s">
        <v>48</v>
      </c>
      <c r="D265" s="4" t="s">
        <v>55</v>
      </c>
      <c r="E265" s="4" t="s">
        <v>311</v>
      </c>
      <c r="F265" s="4" t="s">
        <v>40</v>
      </c>
      <c r="G265" s="4" t="s">
        <v>16</v>
      </c>
      <c r="H265" s="4">
        <v>8</v>
      </c>
      <c r="I265" s="6">
        <v>500</v>
      </c>
      <c r="J265" s="6">
        <v>4000</v>
      </c>
      <c r="K265" t="str" cm="1">
        <f t="array" ref="K265">_xlfn.IFS(J265&lt;30000,"Low Value",J265&lt;=100000,"Medium Value",J265&gt;100000,"High Value")</f>
        <v>Low Value</v>
      </c>
      <c r="L265" s="4" t="s">
        <v>33</v>
      </c>
      <c r="M265" s="4" t="s">
        <v>54</v>
      </c>
      <c r="N265" s="4" t="str">
        <f t="shared" si="12"/>
        <v>December</v>
      </c>
      <c r="O265" s="4" t="str">
        <f t="shared" si="13"/>
        <v>Q4</v>
      </c>
      <c r="P265" s="4">
        <f t="shared" si="14"/>
        <v>2025</v>
      </c>
    </row>
    <row r="266" spans="1:16" x14ac:dyDescent="0.25">
      <c r="A266" s="4">
        <v>265</v>
      </c>
      <c r="B266" s="5">
        <v>45809</v>
      </c>
      <c r="C266" s="4" t="s">
        <v>48</v>
      </c>
      <c r="D266" s="4" t="s">
        <v>52</v>
      </c>
      <c r="E266" s="4" t="s">
        <v>312</v>
      </c>
      <c r="F266" s="4" t="s">
        <v>32</v>
      </c>
      <c r="G266" s="4" t="s">
        <v>29</v>
      </c>
      <c r="H266" s="4">
        <v>7</v>
      </c>
      <c r="I266" s="6">
        <v>7000</v>
      </c>
      <c r="J266" s="6">
        <v>49000</v>
      </c>
      <c r="K266" t="str" cm="1">
        <f t="array" ref="K266">_xlfn.IFS(J266&lt;30000,"Low Value",J266&lt;=100000,"Medium Value",J266&gt;100000,"High Value")</f>
        <v>Medium Value</v>
      </c>
      <c r="L266" s="4" t="s">
        <v>43</v>
      </c>
      <c r="M266" s="4" t="s">
        <v>24</v>
      </c>
      <c r="N266" s="4" t="str">
        <f t="shared" si="12"/>
        <v>June</v>
      </c>
      <c r="O266" s="4" t="str">
        <f t="shared" si="13"/>
        <v>Q2</v>
      </c>
      <c r="P266" s="4">
        <f t="shared" si="14"/>
        <v>2025</v>
      </c>
    </row>
    <row r="267" spans="1:16" x14ac:dyDescent="0.25">
      <c r="A267" s="4">
        <v>266</v>
      </c>
      <c r="B267" s="5">
        <v>45899</v>
      </c>
      <c r="C267" s="4" t="s">
        <v>34</v>
      </c>
      <c r="D267" s="4" t="s">
        <v>36</v>
      </c>
      <c r="E267" s="4" t="s">
        <v>313</v>
      </c>
      <c r="F267" s="4" t="s">
        <v>22</v>
      </c>
      <c r="G267" s="4" t="s">
        <v>16</v>
      </c>
      <c r="H267" s="4">
        <v>1</v>
      </c>
      <c r="I267" s="6">
        <v>1200</v>
      </c>
      <c r="J267" s="6">
        <v>1200</v>
      </c>
      <c r="K267" t="str" cm="1">
        <f t="array" ref="K267">_xlfn.IFS(J267&lt;30000,"Low Value",J267&lt;=100000,"Medium Value",J267&gt;100000,"High Value")</f>
        <v>Low Value</v>
      </c>
      <c r="L267" s="4" t="s">
        <v>43</v>
      </c>
      <c r="M267" s="4" t="s">
        <v>54</v>
      </c>
      <c r="N267" s="4" t="str">
        <f t="shared" si="12"/>
        <v>August</v>
      </c>
      <c r="O267" s="4" t="str">
        <f t="shared" si="13"/>
        <v>Q3</v>
      </c>
      <c r="P267" s="4">
        <f t="shared" si="14"/>
        <v>2025</v>
      </c>
    </row>
    <row r="268" spans="1:16" x14ac:dyDescent="0.25">
      <c r="A268" s="4">
        <v>267</v>
      </c>
      <c r="B268" s="5">
        <v>45937</v>
      </c>
      <c r="C268" s="4" t="s">
        <v>48</v>
      </c>
      <c r="D268" s="4" t="s">
        <v>38</v>
      </c>
      <c r="E268" s="4" t="s">
        <v>314</v>
      </c>
      <c r="F268" s="4" t="s">
        <v>47</v>
      </c>
      <c r="G268" s="4" t="s">
        <v>16</v>
      </c>
      <c r="H268" s="4">
        <v>2</v>
      </c>
      <c r="I268" s="6">
        <v>9000</v>
      </c>
      <c r="J268" s="6">
        <v>18000</v>
      </c>
      <c r="K268" t="str" cm="1">
        <f t="array" ref="K268">_xlfn.IFS(J268&lt;30000,"Low Value",J268&lt;=100000,"Medium Value",J268&gt;100000,"High Value")</f>
        <v>Low Value</v>
      </c>
      <c r="L268" s="4" t="s">
        <v>23</v>
      </c>
      <c r="M268" s="4" t="s">
        <v>24</v>
      </c>
      <c r="N268" s="4" t="str">
        <f t="shared" si="12"/>
        <v>October</v>
      </c>
      <c r="O268" s="4" t="str">
        <f t="shared" si="13"/>
        <v>Q4</v>
      </c>
      <c r="P268" s="4">
        <f t="shared" si="14"/>
        <v>2025</v>
      </c>
    </row>
    <row r="269" spans="1:16" x14ac:dyDescent="0.25">
      <c r="A269" s="4">
        <v>268</v>
      </c>
      <c r="B269" s="5">
        <v>45714</v>
      </c>
      <c r="C269" s="4" t="s">
        <v>25</v>
      </c>
      <c r="D269" s="4" t="s">
        <v>30</v>
      </c>
      <c r="E269" s="4" t="s">
        <v>315</v>
      </c>
      <c r="F269" s="4" t="s">
        <v>40</v>
      </c>
      <c r="G269" s="4" t="s">
        <v>16</v>
      </c>
      <c r="H269" s="4">
        <v>1</v>
      </c>
      <c r="I269" s="6">
        <v>500</v>
      </c>
      <c r="J269" s="6">
        <v>500</v>
      </c>
      <c r="K269" t="str" cm="1">
        <f t="array" ref="K269">_xlfn.IFS(J269&lt;30000,"Low Value",J269&lt;=100000,"Medium Value",J269&gt;100000,"High Value")</f>
        <v>Low Value</v>
      </c>
      <c r="L269" s="4" t="s">
        <v>17</v>
      </c>
      <c r="M269" s="4" t="s">
        <v>24</v>
      </c>
      <c r="N269" s="4" t="str">
        <f t="shared" si="12"/>
        <v>February</v>
      </c>
      <c r="O269" s="4" t="str">
        <f t="shared" si="13"/>
        <v>Q1</v>
      </c>
      <c r="P269" s="4">
        <f t="shared" si="14"/>
        <v>2025</v>
      </c>
    </row>
    <row r="270" spans="1:16" x14ac:dyDescent="0.25">
      <c r="A270" s="4">
        <v>269</v>
      </c>
      <c r="B270" s="5">
        <v>45785</v>
      </c>
      <c r="C270" s="4" t="s">
        <v>25</v>
      </c>
      <c r="D270" s="4" t="s">
        <v>92</v>
      </c>
      <c r="E270" s="4" t="s">
        <v>316</v>
      </c>
      <c r="F270" s="4" t="s">
        <v>47</v>
      </c>
      <c r="G270" s="4" t="s">
        <v>16</v>
      </c>
      <c r="H270" s="4">
        <v>2</v>
      </c>
      <c r="I270" s="6">
        <v>9000</v>
      </c>
      <c r="J270" s="6">
        <v>18000</v>
      </c>
      <c r="K270" t="str" cm="1">
        <f t="array" ref="K270">_xlfn.IFS(J270&lt;30000,"Low Value",J270&lt;=100000,"Medium Value",J270&gt;100000,"High Value")</f>
        <v>Low Value</v>
      </c>
      <c r="L270" s="4" t="s">
        <v>33</v>
      </c>
      <c r="M270" s="4" t="s">
        <v>54</v>
      </c>
      <c r="N270" s="4" t="str">
        <f t="shared" si="12"/>
        <v>May</v>
      </c>
      <c r="O270" s="4" t="str">
        <f t="shared" si="13"/>
        <v>Q2</v>
      </c>
      <c r="P270" s="4">
        <f t="shared" si="14"/>
        <v>2025</v>
      </c>
    </row>
    <row r="271" spans="1:16" x14ac:dyDescent="0.25">
      <c r="A271" s="4">
        <v>270</v>
      </c>
      <c r="B271" s="5">
        <v>45930</v>
      </c>
      <c r="C271" s="4" t="s">
        <v>12</v>
      </c>
      <c r="D271" s="4" t="s">
        <v>30</v>
      </c>
      <c r="E271" s="4" t="s">
        <v>317</v>
      </c>
      <c r="F271" s="4" t="s">
        <v>15</v>
      </c>
      <c r="G271" s="4" t="s">
        <v>16</v>
      </c>
      <c r="H271" s="4">
        <v>7</v>
      </c>
      <c r="I271" s="6">
        <v>55000</v>
      </c>
      <c r="J271" s="6">
        <v>385000</v>
      </c>
      <c r="K271" t="str" cm="1">
        <f t="array" ref="K271">_xlfn.IFS(J271&lt;30000,"Low Value",J271&lt;=100000,"Medium Value",J271&gt;100000,"High Value")</f>
        <v>High Value</v>
      </c>
      <c r="L271" s="4" t="s">
        <v>43</v>
      </c>
      <c r="M271" s="4" t="s">
        <v>24</v>
      </c>
      <c r="N271" s="4" t="str">
        <f t="shared" si="12"/>
        <v>September</v>
      </c>
      <c r="O271" s="4" t="str">
        <f t="shared" si="13"/>
        <v>Q3</v>
      </c>
      <c r="P271" s="4">
        <f t="shared" si="14"/>
        <v>2025</v>
      </c>
    </row>
    <row r="272" spans="1:16" x14ac:dyDescent="0.25">
      <c r="A272" s="4">
        <v>271</v>
      </c>
      <c r="B272" s="5">
        <v>46020</v>
      </c>
      <c r="C272" s="4" t="s">
        <v>12</v>
      </c>
      <c r="D272" s="4" t="s">
        <v>55</v>
      </c>
      <c r="E272" s="4" t="s">
        <v>318</v>
      </c>
      <c r="F272" s="4" t="s">
        <v>40</v>
      </c>
      <c r="G272" s="4" t="s">
        <v>16</v>
      </c>
      <c r="H272" s="4">
        <v>9</v>
      </c>
      <c r="I272" s="6">
        <v>500</v>
      </c>
      <c r="J272" s="6">
        <v>4500</v>
      </c>
      <c r="K272" t="str" cm="1">
        <f t="array" ref="K272">_xlfn.IFS(J272&lt;30000,"Low Value",J272&lt;=100000,"Medium Value",J272&gt;100000,"High Value")</f>
        <v>Low Value</v>
      </c>
      <c r="L272" s="4" t="s">
        <v>33</v>
      </c>
      <c r="M272" s="4" t="s">
        <v>54</v>
      </c>
      <c r="N272" s="4" t="str">
        <f t="shared" si="12"/>
        <v>December</v>
      </c>
      <c r="O272" s="4" t="str">
        <f t="shared" si="13"/>
        <v>Q4</v>
      </c>
      <c r="P272" s="4">
        <f t="shared" si="14"/>
        <v>2025</v>
      </c>
    </row>
    <row r="273" spans="1:16" x14ac:dyDescent="0.25">
      <c r="A273" s="4">
        <v>272</v>
      </c>
      <c r="B273" s="5">
        <v>45966</v>
      </c>
      <c r="C273" s="4" t="s">
        <v>25</v>
      </c>
      <c r="D273" s="4" t="s">
        <v>59</v>
      </c>
      <c r="E273" s="4" t="s">
        <v>319</v>
      </c>
      <c r="F273" s="4" t="s">
        <v>47</v>
      </c>
      <c r="G273" s="4" t="s">
        <v>16</v>
      </c>
      <c r="H273" s="4">
        <v>8</v>
      </c>
      <c r="I273" s="6">
        <v>9000</v>
      </c>
      <c r="J273" s="6">
        <v>72000</v>
      </c>
      <c r="K273" t="str" cm="1">
        <f t="array" ref="K273">_xlfn.IFS(J273&lt;30000,"Low Value",J273&lt;=100000,"Medium Value",J273&gt;100000,"High Value")</f>
        <v>Medium Value</v>
      </c>
      <c r="L273" s="4" t="s">
        <v>33</v>
      </c>
      <c r="M273" s="4" t="s">
        <v>24</v>
      </c>
      <c r="N273" s="4" t="str">
        <f t="shared" si="12"/>
        <v>November</v>
      </c>
      <c r="O273" s="4" t="str">
        <f t="shared" si="13"/>
        <v>Q4</v>
      </c>
      <c r="P273" s="4">
        <f t="shared" si="14"/>
        <v>2025</v>
      </c>
    </row>
    <row r="274" spans="1:16" x14ac:dyDescent="0.25">
      <c r="A274" s="4">
        <v>273</v>
      </c>
      <c r="B274" s="5">
        <v>45705</v>
      </c>
      <c r="C274" s="4" t="s">
        <v>19</v>
      </c>
      <c r="D274" s="4" t="s">
        <v>66</v>
      </c>
      <c r="E274" s="4" t="s">
        <v>320</v>
      </c>
      <c r="F274" s="4" t="s">
        <v>28</v>
      </c>
      <c r="G274" s="4" t="s">
        <v>29</v>
      </c>
      <c r="H274" s="4">
        <v>3</v>
      </c>
      <c r="I274" s="6">
        <v>3500</v>
      </c>
      <c r="J274" s="6">
        <v>10500</v>
      </c>
      <c r="K274" t="str" cm="1">
        <f t="array" ref="K274">_xlfn.IFS(J274&lt;30000,"Low Value",J274&lt;=100000,"Medium Value",J274&gt;100000,"High Value")</f>
        <v>Low Value</v>
      </c>
      <c r="L274" s="4" t="s">
        <v>17</v>
      </c>
      <c r="M274" s="4" t="s">
        <v>24</v>
      </c>
      <c r="N274" s="4" t="str">
        <f t="shared" si="12"/>
        <v>February</v>
      </c>
      <c r="O274" s="4" t="str">
        <f t="shared" si="13"/>
        <v>Q1</v>
      </c>
      <c r="P274" s="4">
        <f t="shared" si="14"/>
        <v>2025</v>
      </c>
    </row>
    <row r="275" spans="1:16" x14ac:dyDescent="0.25">
      <c r="A275" s="4">
        <v>274</v>
      </c>
      <c r="B275" s="5">
        <v>45767</v>
      </c>
      <c r="C275" s="4" t="s">
        <v>25</v>
      </c>
      <c r="D275" s="4" t="s">
        <v>66</v>
      </c>
      <c r="E275" s="4" t="s">
        <v>321</v>
      </c>
      <c r="F275" s="4" t="s">
        <v>32</v>
      </c>
      <c r="G275" s="4" t="s">
        <v>29</v>
      </c>
      <c r="H275" s="4">
        <v>10</v>
      </c>
      <c r="I275" s="6">
        <v>7000</v>
      </c>
      <c r="J275" s="6">
        <v>70000</v>
      </c>
      <c r="K275" t="str" cm="1">
        <f t="array" ref="K275">_xlfn.IFS(J275&lt;30000,"Low Value",J275&lt;=100000,"Medium Value",J275&gt;100000,"High Value")</f>
        <v>Medium Value</v>
      </c>
      <c r="L275" s="4" t="s">
        <v>43</v>
      </c>
      <c r="M275" s="4" t="s">
        <v>54</v>
      </c>
      <c r="N275" s="4" t="str">
        <f t="shared" si="12"/>
        <v>April</v>
      </c>
      <c r="O275" s="4" t="str">
        <f t="shared" si="13"/>
        <v>Q2</v>
      </c>
      <c r="P275" s="4">
        <f t="shared" si="14"/>
        <v>2025</v>
      </c>
    </row>
    <row r="276" spans="1:16" x14ac:dyDescent="0.25">
      <c r="A276" s="4">
        <v>275</v>
      </c>
      <c r="B276" s="5">
        <v>45935</v>
      </c>
      <c r="C276" s="4" t="s">
        <v>19</v>
      </c>
      <c r="D276" s="4" t="s">
        <v>36</v>
      </c>
      <c r="E276" s="4" t="s">
        <v>322</v>
      </c>
      <c r="F276" s="4" t="s">
        <v>15</v>
      </c>
      <c r="G276" s="4" t="s">
        <v>16</v>
      </c>
      <c r="H276" s="4">
        <v>3</v>
      </c>
      <c r="I276" s="6">
        <v>55000</v>
      </c>
      <c r="J276" s="6">
        <v>165000</v>
      </c>
      <c r="K276" t="str" cm="1">
        <f t="array" ref="K276">_xlfn.IFS(J276&lt;30000,"Low Value",J276&lt;=100000,"Medium Value",J276&gt;100000,"High Value")</f>
        <v>High Value</v>
      </c>
      <c r="L276" s="4" t="s">
        <v>43</v>
      </c>
      <c r="M276" s="4" t="s">
        <v>18</v>
      </c>
      <c r="N276" s="4" t="str">
        <f t="shared" si="12"/>
        <v>October</v>
      </c>
      <c r="O276" s="4" t="str">
        <f t="shared" si="13"/>
        <v>Q4</v>
      </c>
      <c r="P276" s="4">
        <f t="shared" si="14"/>
        <v>2025</v>
      </c>
    </row>
    <row r="277" spans="1:16" x14ac:dyDescent="0.25">
      <c r="A277" s="4">
        <v>276</v>
      </c>
      <c r="B277" s="5">
        <v>45999</v>
      </c>
      <c r="C277" s="4" t="s">
        <v>19</v>
      </c>
      <c r="D277" s="4" t="s">
        <v>55</v>
      </c>
      <c r="E277" s="4" t="s">
        <v>323</v>
      </c>
      <c r="F277" s="4" t="s">
        <v>40</v>
      </c>
      <c r="G277" s="4" t="s">
        <v>16</v>
      </c>
      <c r="H277" s="4">
        <v>8</v>
      </c>
      <c r="I277" s="6">
        <v>500</v>
      </c>
      <c r="J277" s="6">
        <v>4000</v>
      </c>
      <c r="K277" t="str" cm="1">
        <f t="array" ref="K277">_xlfn.IFS(J277&lt;30000,"Low Value",J277&lt;=100000,"Medium Value",J277&gt;100000,"High Value")</f>
        <v>Low Value</v>
      </c>
      <c r="L277" s="4" t="s">
        <v>43</v>
      </c>
      <c r="M277" s="4" t="s">
        <v>24</v>
      </c>
      <c r="N277" s="4" t="str">
        <f t="shared" si="12"/>
        <v>December</v>
      </c>
      <c r="O277" s="4" t="str">
        <f t="shared" si="13"/>
        <v>Q4</v>
      </c>
      <c r="P277" s="4">
        <f t="shared" si="14"/>
        <v>2025</v>
      </c>
    </row>
    <row r="278" spans="1:16" x14ac:dyDescent="0.25">
      <c r="A278" s="4">
        <v>277</v>
      </c>
      <c r="B278" s="5">
        <v>45866</v>
      </c>
      <c r="C278" s="4" t="s">
        <v>19</v>
      </c>
      <c r="D278" s="4" t="s">
        <v>38</v>
      </c>
      <c r="E278" s="4" t="s">
        <v>324</v>
      </c>
      <c r="F278" s="4" t="s">
        <v>40</v>
      </c>
      <c r="G278" s="4" t="s">
        <v>16</v>
      </c>
      <c r="H278" s="4">
        <v>9</v>
      </c>
      <c r="I278" s="6">
        <v>500</v>
      </c>
      <c r="J278" s="6">
        <v>4500</v>
      </c>
      <c r="K278" t="str" cm="1">
        <f t="array" ref="K278">_xlfn.IFS(J278&lt;30000,"Low Value",J278&lt;=100000,"Medium Value",J278&gt;100000,"High Value")</f>
        <v>Low Value</v>
      </c>
      <c r="L278" s="4" t="s">
        <v>43</v>
      </c>
      <c r="M278" s="4" t="s">
        <v>24</v>
      </c>
      <c r="N278" s="4" t="str">
        <f t="shared" si="12"/>
        <v>July</v>
      </c>
      <c r="O278" s="4" t="str">
        <f t="shared" si="13"/>
        <v>Q3</v>
      </c>
      <c r="P278" s="4">
        <f t="shared" si="14"/>
        <v>2025</v>
      </c>
    </row>
    <row r="279" spans="1:16" x14ac:dyDescent="0.25">
      <c r="A279" s="4">
        <v>278</v>
      </c>
      <c r="B279" s="5">
        <v>45954</v>
      </c>
      <c r="C279" s="4" t="s">
        <v>19</v>
      </c>
      <c r="D279" s="4" t="s">
        <v>59</v>
      </c>
      <c r="E279" s="4" t="s">
        <v>325</v>
      </c>
      <c r="F279" s="4" t="s">
        <v>32</v>
      </c>
      <c r="G279" s="4" t="s">
        <v>29</v>
      </c>
      <c r="H279" s="4">
        <v>3</v>
      </c>
      <c r="I279" s="6">
        <v>7000</v>
      </c>
      <c r="J279" s="6">
        <v>21000</v>
      </c>
      <c r="K279" t="str" cm="1">
        <f t="array" ref="K279">_xlfn.IFS(J279&lt;30000,"Low Value",J279&lt;=100000,"Medium Value",J279&gt;100000,"High Value")</f>
        <v>Low Value</v>
      </c>
      <c r="L279" s="4" t="s">
        <v>23</v>
      </c>
      <c r="M279" s="4" t="s">
        <v>24</v>
      </c>
      <c r="N279" s="4" t="str">
        <f t="shared" si="12"/>
        <v>October</v>
      </c>
      <c r="O279" s="4" t="str">
        <f t="shared" si="13"/>
        <v>Q4</v>
      </c>
      <c r="P279" s="4">
        <f t="shared" si="14"/>
        <v>2025</v>
      </c>
    </row>
    <row r="280" spans="1:16" x14ac:dyDescent="0.25">
      <c r="A280" s="4">
        <v>279</v>
      </c>
      <c r="B280" s="5">
        <v>46021</v>
      </c>
      <c r="C280" s="4" t="s">
        <v>25</v>
      </c>
      <c r="D280" s="4" t="s">
        <v>73</v>
      </c>
      <c r="E280" s="4" t="s">
        <v>326</v>
      </c>
      <c r="F280" s="4" t="s">
        <v>22</v>
      </c>
      <c r="G280" s="4" t="s">
        <v>16</v>
      </c>
      <c r="H280" s="4">
        <v>10</v>
      </c>
      <c r="I280" s="6">
        <v>1200</v>
      </c>
      <c r="J280" s="6">
        <v>12000</v>
      </c>
      <c r="K280" t="str" cm="1">
        <f t="array" ref="K280">_xlfn.IFS(J280&lt;30000,"Low Value",J280&lt;=100000,"Medium Value",J280&gt;100000,"High Value")</f>
        <v>Low Value</v>
      </c>
      <c r="L280" s="4" t="s">
        <v>43</v>
      </c>
      <c r="M280" s="4" t="s">
        <v>54</v>
      </c>
      <c r="N280" s="4" t="str">
        <f t="shared" si="12"/>
        <v>December</v>
      </c>
      <c r="O280" s="4" t="str">
        <f t="shared" si="13"/>
        <v>Q4</v>
      </c>
      <c r="P280" s="4">
        <f t="shared" si="14"/>
        <v>2025</v>
      </c>
    </row>
    <row r="281" spans="1:16" x14ac:dyDescent="0.25">
      <c r="A281" s="4">
        <v>280</v>
      </c>
      <c r="B281" s="5">
        <v>45892</v>
      </c>
      <c r="C281" s="4" t="s">
        <v>25</v>
      </c>
      <c r="D281" s="4" t="s">
        <v>49</v>
      </c>
      <c r="E281" s="4" t="s">
        <v>327</v>
      </c>
      <c r="F281" s="4" t="s">
        <v>47</v>
      </c>
      <c r="G281" s="4" t="s">
        <v>16</v>
      </c>
      <c r="H281" s="4">
        <v>7</v>
      </c>
      <c r="I281" s="6">
        <v>9000</v>
      </c>
      <c r="J281" s="6">
        <v>63000</v>
      </c>
      <c r="K281" t="str" cm="1">
        <f t="array" ref="K281">_xlfn.IFS(J281&lt;30000,"Low Value",J281&lt;=100000,"Medium Value",J281&gt;100000,"High Value")</f>
        <v>Medium Value</v>
      </c>
      <c r="L281" s="4" t="s">
        <v>43</v>
      </c>
      <c r="M281" s="4" t="s">
        <v>54</v>
      </c>
      <c r="N281" s="4" t="str">
        <f t="shared" si="12"/>
        <v>August</v>
      </c>
      <c r="O281" s="4" t="str">
        <f t="shared" si="13"/>
        <v>Q3</v>
      </c>
      <c r="P281" s="4">
        <f t="shared" si="14"/>
        <v>2025</v>
      </c>
    </row>
    <row r="282" spans="1:16" x14ac:dyDescent="0.25">
      <c r="A282" s="4">
        <v>281</v>
      </c>
      <c r="B282" s="5">
        <v>45911</v>
      </c>
      <c r="C282" s="4" t="s">
        <v>48</v>
      </c>
      <c r="D282" s="4" t="s">
        <v>30</v>
      </c>
      <c r="E282" s="4" t="s">
        <v>328</v>
      </c>
      <c r="F282" s="4" t="s">
        <v>40</v>
      </c>
      <c r="G282" s="4" t="s">
        <v>16</v>
      </c>
      <c r="H282" s="4">
        <v>4</v>
      </c>
      <c r="I282" s="6">
        <v>500</v>
      </c>
      <c r="J282" s="6">
        <v>2000</v>
      </c>
      <c r="K282" t="str" cm="1">
        <f t="array" ref="K282">_xlfn.IFS(J282&lt;30000,"Low Value",J282&lt;=100000,"Medium Value",J282&gt;100000,"High Value")</f>
        <v>Low Value</v>
      </c>
      <c r="L282" s="4" t="s">
        <v>43</v>
      </c>
      <c r="M282" s="4" t="s">
        <v>24</v>
      </c>
      <c r="N282" s="4" t="str">
        <f t="shared" si="12"/>
        <v>September</v>
      </c>
      <c r="O282" s="4" t="str">
        <f t="shared" si="13"/>
        <v>Q3</v>
      </c>
      <c r="P282" s="4">
        <f t="shared" si="14"/>
        <v>2025</v>
      </c>
    </row>
    <row r="283" spans="1:16" x14ac:dyDescent="0.25">
      <c r="A283" s="4">
        <v>282</v>
      </c>
      <c r="B283" s="5">
        <v>45930</v>
      </c>
      <c r="C283" s="4" t="s">
        <v>34</v>
      </c>
      <c r="D283" s="4" t="s">
        <v>26</v>
      </c>
      <c r="E283" s="4" t="s">
        <v>329</v>
      </c>
      <c r="F283" s="4" t="s">
        <v>28</v>
      </c>
      <c r="G283" s="4" t="s">
        <v>29</v>
      </c>
      <c r="H283" s="4">
        <v>2</v>
      </c>
      <c r="I283" s="6">
        <v>3500</v>
      </c>
      <c r="J283" s="6">
        <v>7000</v>
      </c>
      <c r="K283" t="str" cm="1">
        <f t="array" ref="K283">_xlfn.IFS(J283&lt;30000,"Low Value",J283&lt;=100000,"Medium Value",J283&gt;100000,"High Value")</f>
        <v>Low Value</v>
      </c>
      <c r="L283" s="4" t="s">
        <v>23</v>
      </c>
      <c r="M283" s="4" t="s">
        <v>24</v>
      </c>
      <c r="N283" s="4" t="str">
        <f t="shared" si="12"/>
        <v>September</v>
      </c>
      <c r="O283" s="4" t="str">
        <f t="shared" si="13"/>
        <v>Q3</v>
      </c>
      <c r="P283" s="4">
        <f t="shared" si="14"/>
        <v>2025</v>
      </c>
    </row>
    <row r="284" spans="1:16" x14ac:dyDescent="0.25">
      <c r="A284" s="4">
        <v>283</v>
      </c>
      <c r="B284" s="5">
        <v>45740</v>
      </c>
      <c r="C284" s="4" t="s">
        <v>19</v>
      </c>
      <c r="D284" s="4" t="s">
        <v>44</v>
      </c>
      <c r="E284" s="4" t="s">
        <v>45</v>
      </c>
      <c r="F284" s="4" t="s">
        <v>22</v>
      </c>
      <c r="G284" s="4" t="s">
        <v>16</v>
      </c>
      <c r="H284" s="4">
        <v>1</v>
      </c>
      <c r="I284" s="6">
        <v>1200</v>
      </c>
      <c r="J284" s="6">
        <v>1200</v>
      </c>
      <c r="K284" t="str" cm="1">
        <f t="array" ref="K284">_xlfn.IFS(J284&lt;30000,"Low Value",J284&lt;=100000,"Medium Value",J284&gt;100000,"High Value")</f>
        <v>Low Value</v>
      </c>
      <c r="L284" s="4" t="s">
        <v>17</v>
      </c>
      <c r="M284" s="4" t="s">
        <v>24</v>
      </c>
      <c r="N284" s="4" t="str">
        <f t="shared" si="12"/>
        <v>March</v>
      </c>
      <c r="O284" s="4" t="str">
        <f t="shared" si="13"/>
        <v>Q1</v>
      </c>
      <c r="P284" s="4">
        <f t="shared" si="14"/>
        <v>2025</v>
      </c>
    </row>
    <row r="285" spans="1:16" x14ac:dyDescent="0.25">
      <c r="A285" s="4">
        <v>284</v>
      </c>
      <c r="B285" s="5">
        <v>45737</v>
      </c>
      <c r="C285" s="4" t="s">
        <v>25</v>
      </c>
      <c r="D285" s="4" t="s">
        <v>44</v>
      </c>
      <c r="E285" s="4" t="s">
        <v>330</v>
      </c>
      <c r="F285" s="4" t="s">
        <v>22</v>
      </c>
      <c r="G285" s="4" t="s">
        <v>16</v>
      </c>
      <c r="H285" s="4">
        <v>10</v>
      </c>
      <c r="I285" s="6">
        <v>1200</v>
      </c>
      <c r="J285" s="6">
        <v>12000</v>
      </c>
      <c r="K285" t="str" cm="1">
        <f t="array" ref="K285">_xlfn.IFS(J285&lt;30000,"Low Value",J285&lt;=100000,"Medium Value",J285&gt;100000,"High Value")</f>
        <v>Low Value</v>
      </c>
      <c r="L285" s="4" t="s">
        <v>33</v>
      </c>
      <c r="M285" s="4" t="s">
        <v>24</v>
      </c>
      <c r="N285" s="4" t="str">
        <f t="shared" si="12"/>
        <v>March</v>
      </c>
      <c r="O285" s="4" t="str">
        <f t="shared" si="13"/>
        <v>Q1</v>
      </c>
      <c r="P285" s="4">
        <f t="shared" si="14"/>
        <v>2025</v>
      </c>
    </row>
    <row r="286" spans="1:16" x14ac:dyDescent="0.25">
      <c r="A286" s="4">
        <v>285</v>
      </c>
      <c r="B286" s="5">
        <v>45726</v>
      </c>
      <c r="C286" s="4" t="s">
        <v>48</v>
      </c>
      <c r="D286" s="4" t="s">
        <v>52</v>
      </c>
      <c r="E286" s="4" t="s">
        <v>331</v>
      </c>
      <c r="F286" s="4" t="s">
        <v>22</v>
      </c>
      <c r="G286" s="4" t="s">
        <v>16</v>
      </c>
      <c r="H286" s="4">
        <v>9</v>
      </c>
      <c r="I286" s="6">
        <v>1200</v>
      </c>
      <c r="J286" s="6">
        <v>10800</v>
      </c>
      <c r="K286" t="str" cm="1">
        <f t="array" ref="K286">_xlfn.IFS(J286&lt;30000,"Low Value",J286&lt;=100000,"Medium Value",J286&gt;100000,"High Value")</f>
        <v>Low Value</v>
      </c>
      <c r="L286" s="4" t="s">
        <v>23</v>
      </c>
      <c r="M286" s="4" t="s">
        <v>24</v>
      </c>
      <c r="N286" s="4" t="str">
        <f t="shared" si="12"/>
        <v>March</v>
      </c>
      <c r="O286" s="4" t="str">
        <f t="shared" si="13"/>
        <v>Q1</v>
      </c>
      <c r="P286" s="4">
        <f t="shared" si="14"/>
        <v>2025</v>
      </c>
    </row>
    <row r="287" spans="1:16" x14ac:dyDescent="0.25">
      <c r="A287" s="4">
        <v>286</v>
      </c>
      <c r="B287" s="5">
        <v>45703</v>
      </c>
      <c r="C287" s="4" t="s">
        <v>48</v>
      </c>
      <c r="D287" s="4" t="s">
        <v>49</v>
      </c>
      <c r="E287" s="4" t="s">
        <v>332</v>
      </c>
      <c r="F287" s="4" t="s">
        <v>28</v>
      </c>
      <c r="G287" s="4" t="s">
        <v>29</v>
      </c>
      <c r="H287" s="4">
        <v>2</v>
      </c>
      <c r="I287" s="6">
        <v>3500</v>
      </c>
      <c r="J287" s="6">
        <v>7000</v>
      </c>
      <c r="K287" t="str" cm="1">
        <f t="array" ref="K287">_xlfn.IFS(J287&lt;30000,"Low Value",J287&lt;=100000,"Medium Value",J287&gt;100000,"High Value")</f>
        <v>Low Value</v>
      </c>
      <c r="L287" s="4" t="s">
        <v>43</v>
      </c>
      <c r="M287" s="4" t="s">
        <v>24</v>
      </c>
      <c r="N287" s="4" t="str">
        <f t="shared" si="12"/>
        <v>February</v>
      </c>
      <c r="O287" s="4" t="str">
        <f t="shared" si="13"/>
        <v>Q1</v>
      </c>
      <c r="P287" s="4">
        <f t="shared" si="14"/>
        <v>2025</v>
      </c>
    </row>
    <row r="288" spans="1:16" x14ac:dyDescent="0.25">
      <c r="A288" s="4">
        <v>287</v>
      </c>
      <c r="B288" s="5">
        <v>45794</v>
      </c>
      <c r="C288" s="4" t="s">
        <v>19</v>
      </c>
      <c r="D288" s="4" t="s">
        <v>92</v>
      </c>
      <c r="E288" s="4" t="s">
        <v>333</v>
      </c>
      <c r="F288" s="4" t="s">
        <v>15</v>
      </c>
      <c r="G288" s="4" t="s">
        <v>16</v>
      </c>
      <c r="H288" s="4">
        <v>2</v>
      </c>
      <c r="I288" s="6">
        <v>55000</v>
      </c>
      <c r="J288" s="6">
        <v>110000</v>
      </c>
      <c r="K288" t="str" cm="1">
        <f t="array" ref="K288">_xlfn.IFS(J288&lt;30000,"Low Value",J288&lt;=100000,"Medium Value",J288&gt;100000,"High Value")</f>
        <v>High Value</v>
      </c>
      <c r="L288" s="4" t="s">
        <v>23</v>
      </c>
      <c r="M288" s="4" t="s">
        <v>24</v>
      </c>
      <c r="N288" s="4" t="str">
        <f t="shared" si="12"/>
        <v>May</v>
      </c>
      <c r="O288" s="4" t="str">
        <f t="shared" si="13"/>
        <v>Q2</v>
      </c>
      <c r="P288" s="4">
        <f t="shared" si="14"/>
        <v>2025</v>
      </c>
    </row>
    <row r="289" spans="1:16" x14ac:dyDescent="0.25">
      <c r="A289" s="4">
        <v>288</v>
      </c>
      <c r="B289" s="5">
        <v>45860</v>
      </c>
      <c r="C289" s="4" t="s">
        <v>25</v>
      </c>
      <c r="D289" s="4" t="s">
        <v>38</v>
      </c>
      <c r="E289" s="4" t="s">
        <v>334</v>
      </c>
      <c r="F289" s="4" t="s">
        <v>32</v>
      </c>
      <c r="G289" s="4" t="s">
        <v>29</v>
      </c>
      <c r="H289" s="4">
        <v>8</v>
      </c>
      <c r="I289" s="6">
        <v>7000</v>
      </c>
      <c r="J289" s="6">
        <v>56000</v>
      </c>
      <c r="K289" t="str" cm="1">
        <f t="array" ref="K289">_xlfn.IFS(J289&lt;30000,"Low Value",J289&lt;=100000,"Medium Value",J289&gt;100000,"High Value")</f>
        <v>Medium Value</v>
      </c>
      <c r="L289" s="4" t="s">
        <v>33</v>
      </c>
      <c r="M289" s="4" t="s">
        <v>24</v>
      </c>
      <c r="N289" s="4" t="str">
        <f t="shared" si="12"/>
        <v>July</v>
      </c>
      <c r="O289" s="4" t="str">
        <f t="shared" si="13"/>
        <v>Q3</v>
      </c>
      <c r="P289" s="4">
        <f t="shared" si="14"/>
        <v>2025</v>
      </c>
    </row>
    <row r="290" spans="1:16" x14ac:dyDescent="0.25">
      <c r="A290" s="4">
        <v>289</v>
      </c>
      <c r="B290" s="5">
        <v>45898</v>
      </c>
      <c r="C290" s="4" t="s">
        <v>48</v>
      </c>
      <c r="D290" s="4" t="s">
        <v>41</v>
      </c>
      <c r="E290" s="4" t="s">
        <v>335</v>
      </c>
      <c r="F290" s="4" t="s">
        <v>32</v>
      </c>
      <c r="G290" s="4" t="s">
        <v>29</v>
      </c>
      <c r="H290" s="4">
        <v>9</v>
      </c>
      <c r="I290" s="6">
        <v>7000</v>
      </c>
      <c r="J290" s="6">
        <v>63000</v>
      </c>
      <c r="K290" t="str" cm="1">
        <f t="array" ref="K290">_xlfn.IFS(J290&lt;30000,"Low Value",J290&lt;=100000,"Medium Value",J290&gt;100000,"High Value")</f>
        <v>Medium Value</v>
      </c>
      <c r="L290" s="4" t="s">
        <v>43</v>
      </c>
      <c r="M290" s="4" t="s">
        <v>24</v>
      </c>
      <c r="N290" s="4" t="str">
        <f t="shared" si="12"/>
        <v>August</v>
      </c>
      <c r="O290" s="4" t="str">
        <f t="shared" si="13"/>
        <v>Q3</v>
      </c>
      <c r="P290" s="4">
        <f t="shared" si="14"/>
        <v>2025</v>
      </c>
    </row>
    <row r="291" spans="1:16" x14ac:dyDescent="0.25">
      <c r="A291" s="4">
        <v>290</v>
      </c>
      <c r="B291" s="5">
        <v>45880</v>
      </c>
      <c r="C291" s="4" t="s">
        <v>12</v>
      </c>
      <c r="D291" s="4" t="s">
        <v>64</v>
      </c>
      <c r="E291" s="4" t="s">
        <v>336</v>
      </c>
      <c r="F291" s="4" t="s">
        <v>15</v>
      </c>
      <c r="G291" s="4" t="s">
        <v>16</v>
      </c>
      <c r="H291" s="4">
        <v>6</v>
      </c>
      <c r="I291" s="6">
        <v>55000</v>
      </c>
      <c r="J291" s="6">
        <v>330000</v>
      </c>
      <c r="K291" t="str" cm="1">
        <f t="array" ref="K291">_xlfn.IFS(J291&lt;30000,"Low Value",J291&lt;=100000,"Medium Value",J291&gt;100000,"High Value")</f>
        <v>High Value</v>
      </c>
      <c r="L291" s="4" t="s">
        <v>33</v>
      </c>
      <c r="M291" s="4" t="s">
        <v>24</v>
      </c>
      <c r="N291" s="4" t="str">
        <f t="shared" si="12"/>
        <v>August</v>
      </c>
      <c r="O291" s="4" t="str">
        <f t="shared" si="13"/>
        <v>Q3</v>
      </c>
      <c r="P291" s="4">
        <f t="shared" si="14"/>
        <v>2025</v>
      </c>
    </row>
    <row r="292" spans="1:16" x14ac:dyDescent="0.25">
      <c r="A292" s="4">
        <v>291</v>
      </c>
      <c r="B292" s="5">
        <v>45824</v>
      </c>
      <c r="C292" s="4" t="s">
        <v>19</v>
      </c>
      <c r="D292" s="4" t="s">
        <v>38</v>
      </c>
      <c r="E292" s="4" t="s">
        <v>337</v>
      </c>
      <c r="F292" s="4" t="s">
        <v>28</v>
      </c>
      <c r="G292" s="4" t="s">
        <v>29</v>
      </c>
      <c r="H292" s="4">
        <v>2</v>
      </c>
      <c r="I292" s="6">
        <v>3500</v>
      </c>
      <c r="J292" s="6">
        <v>7000</v>
      </c>
      <c r="K292" t="str" cm="1">
        <f t="array" ref="K292">_xlfn.IFS(J292&lt;30000,"Low Value",J292&lt;=100000,"Medium Value",J292&gt;100000,"High Value")</f>
        <v>Low Value</v>
      </c>
      <c r="L292" s="4" t="s">
        <v>17</v>
      </c>
      <c r="M292" s="4" t="s">
        <v>24</v>
      </c>
      <c r="N292" s="4" t="str">
        <f t="shared" si="12"/>
        <v>June</v>
      </c>
      <c r="O292" s="4" t="str">
        <f t="shared" si="13"/>
        <v>Q2</v>
      </c>
      <c r="P292" s="4">
        <f t="shared" si="14"/>
        <v>2025</v>
      </c>
    </row>
    <row r="293" spans="1:16" x14ac:dyDescent="0.25">
      <c r="A293" s="4">
        <v>292</v>
      </c>
      <c r="B293" s="5">
        <v>45872</v>
      </c>
      <c r="C293" s="4" t="s">
        <v>19</v>
      </c>
      <c r="D293" s="4" t="s">
        <v>38</v>
      </c>
      <c r="E293" s="4" t="s">
        <v>338</v>
      </c>
      <c r="F293" s="4" t="s">
        <v>32</v>
      </c>
      <c r="G293" s="4" t="s">
        <v>29</v>
      </c>
      <c r="H293" s="4">
        <v>4</v>
      </c>
      <c r="I293" s="6">
        <v>7000</v>
      </c>
      <c r="J293" s="6">
        <v>28000</v>
      </c>
      <c r="K293" t="str" cm="1">
        <f t="array" ref="K293">_xlfn.IFS(J293&lt;30000,"Low Value",J293&lt;=100000,"Medium Value",J293&gt;100000,"High Value")</f>
        <v>Low Value</v>
      </c>
      <c r="L293" s="4" t="s">
        <v>23</v>
      </c>
      <c r="M293" s="4" t="s">
        <v>24</v>
      </c>
      <c r="N293" s="4" t="str">
        <f t="shared" si="12"/>
        <v>August</v>
      </c>
      <c r="O293" s="4" t="str">
        <f t="shared" si="13"/>
        <v>Q3</v>
      </c>
      <c r="P293" s="4">
        <f t="shared" si="14"/>
        <v>2025</v>
      </c>
    </row>
    <row r="294" spans="1:16" x14ac:dyDescent="0.25">
      <c r="A294" s="4">
        <v>293</v>
      </c>
      <c r="B294" s="5">
        <v>45970</v>
      </c>
      <c r="C294" s="4" t="s">
        <v>25</v>
      </c>
      <c r="D294" s="4" t="s">
        <v>97</v>
      </c>
      <c r="E294" s="4" t="s">
        <v>339</v>
      </c>
      <c r="F294" s="4" t="s">
        <v>15</v>
      </c>
      <c r="G294" s="4" t="s">
        <v>16</v>
      </c>
      <c r="H294" s="4">
        <v>3</v>
      </c>
      <c r="I294" s="6">
        <v>55000</v>
      </c>
      <c r="J294" s="6">
        <v>165000</v>
      </c>
      <c r="K294" t="str" cm="1">
        <f t="array" ref="K294">_xlfn.IFS(J294&lt;30000,"Low Value",J294&lt;=100000,"Medium Value",J294&gt;100000,"High Value")</f>
        <v>High Value</v>
      </c>
      <c r="L294" s="4" t="s">
        <v>33</v>
      </c>
      <c r="M294" s="4" t="s">
        <v>24</v>
      </c>
      <c r="N294" s="4" t="str">
        <f t="shared" si="12"/>
        <v>November</v>
      </c>
      <c r="O294" s="4" t="str">
        <f t="shared" si="13"/>
        <v>Q4</v>
      </c>
      <c r="P294" s="4">
        <f t="shared" si="14"/>
        <v>2025</v>
      </c>
    </row>
    <row r="295" spans="1:16" x14ac:dyDescent="0.25">
      <c r="A295" s="4">
        <v>294</v>
      </c>
      <c r="B295" s="5">
        <v>45700</v>
      </c>
      <c r="C295" s="4" t="s">
        <v>12</v>
      </c>
      <c r="D295" s="4" t="s">
        <v>97</v>
      </c>
      <c r="E295" s="4" t="s">
        <v>340</v>
      </c>
      <c r="F295" s="4" t="s">
        <v>40</v>
      </c>
      <c r="G295" s="4" t="s">
        <v>16</v>
      </c>
      <c r="H295" s="4">
        <v>7</v>
      </c>
      <c r="I295" s="6">
        <v>500</v>
      </c>
      <c r="J295" s="6">
        <v>3500</v>
      </c>
      <c r="K295" t="str" cm="1">
        <f t="array" ref="K295">_xlfn.IFS(J295&lt;30000,"Low Value",J295&lt;=100000,"Medium Value",J295&gt;100000,"High Value")</f>
        <v>Low Value</v>
      </c>
      <c r="L295" s="4" t="s">
        <v>43</v>
      </c>
      <c r="M295" s="4" t="s">
        <v>24</v>
      </c>
      <c r="N295" s="4" t="str">
        <f t="shared" si="12"/>
        <v>February</v>
      </c>
      <c r="O295" s="4" t="str">
        <f t="shared" si="13"/>
        <v>Q1</v>
      </c>
      <c r="P295" s="4">
        <f t="shared" si="14"/>
        <v>2025</v>
      </c>
    </row>
    <row r="296" spans="1:16" x14ac:dyDescent="0.25">
      <c r="A296" s="4">
        <v>295</v>
      </c>
      <c r="B296" s="5">
        <v>45928</v>
      </c>
      <c r="C296" s="4" t="s">
        <v>34</v>
      </c>
      <c r="D296" s="4" t="s">
        <v>38</v>
      </c>
      <c r="E296" s="4" t="s">
        <v>341</v>
      </c>
      <c r="F296" s="4" t="s">
        <v>47</v>
      </c>
      <c r="G296" s="4" t="s">
        <v>16</v>
      </c>
      <c r="H296" s="4">
        <v>9</v>
      </c>
      <c r="I296" s="6">
        <v>9000</v>
      </c>
      <c r="J296" s="6">
        <v>81000</v>
      </c>
      <c r="K296" t="str" cm="1">
        <f t="array" ref="K296">_xlfn.IFS(J296&lt;30000,"Low Value",J296&lt;=100000,"Medium Value",J296&gt;100000,"High Value")</f>
        <v>Medium Value</v>
      </c>
      <c r="L296" s="4" t="s">
        <v>17</v>
      </c>
      <c r="M296" s="4" t="s">
        <v>24</v>
      </c>
      <c r="N296" s="4" t="str">
        <f t="shared" si="12"/>
        <v>September</v>
      </c>
      <c r="O296" s="4" t="str">
        <f t="shared" si="13"/>
        <v>Q3</v>
      </c>
      <c r="P296" s="4">
        <f t="shared" si="14"/>
        <v>2025</v>
      </c>
    </row>
    <row r="297" spans="1:16" x14ac:dyDescent="0.25">
      <c r="A297" s="4">
        <v>296</v>
      </c>
      <c r="B297" s="5">
        <v>45901</v>
      </c>
      <c r="C297" s="4" t="s">
        <v>48</v>
      </c>
      <c r="D297" s="4" t="s">
        <v>92</v>
      </c>
      <c r="E297" s="4" t="s">
        <v>342</v>
      </c>
      <c r="F297" s="4" t="s">
        <v>40</v>
      </c>
      <c r="G297" s="4" t="s">
        <v>16</v>
      </c>
      <c r="H297" s="4">
        <v>10</v>
      </c>
      <c r="I297" s="6">
        <v>500</v>
      </c>
      <c r="J297" s="6">
        <v>5000</v>
      </c>
      <c r="K297" t="str" cm="1">
        <f t="array" ref="K297">_xlfn.IFS(J297&lt;30000,"Low Value",J297&lt;=100000,"Medium Value",J297&gt;100000,"High Value")</f>
        <v>Low Value</v>
      </c>
      <c r="L297" s="4" t="s">
        <v>23</v>
      </c>
      <c r="M297" s="4" t="s">
        <v>18</v>
      </c>
      <c r="N297" s="4" t="str">
        <f t="shared" si="12"/>
        <v>September</v>
      </c>
      <c r="O297" s="4" t="str">
        <f t="shared" si="13"/>
        <v>Q3</v>
      </c>
      <c r="P297" s="4">
        <f t="shared" si="14"/>
        <v>2025</v>
      </c>
    </row>
    <row r="298" spans="1:16" x14ac:dyDescent="0.25">
      <c r="A298" s="4">
        <v>297</v>
      </c>
      <c r="B298" s="5">
        <v>45971</v>
      </c>
      <c r="C298" s="4" t="s">
        <v>25</v>
      </c>
      <c r="D298" s="4" t="s">
        <v>36</v>
      </c>
      <c r="E298" s="4" t="s">
        <v>343</v>
      </c>
      <c r="F298" s="4" t="s">
        <v>22</v>
      </c>
      <c r="G298" s="4" t="s">
        <v>16</v>
      </c>
      <c r="H298" s="4">
        <v>2</v>
      </c>
      <c r="I298" s="6">
        <v>1200</v>
      </c>
      <c r="J298" s="6">
        <v>2400</v>
      </c>
      <c r="K298" t="str" cm="1">
        <f t="array" ref="K298">_xlfn.IFS(J298&lt;30000,"Low Value",J298&lt;=100000,"Medium Value",J298&gt;100000,"High Value")</f>
        <v>Low Value</v>
      </c>
      <c r="L298" s="4" t="s">
        <v>17</v>
      </c>
      <c r="M298" s="4" t="s">
        <v>54</v>
      </c>
      <c r="N298" s="4" t="str">
        <f t="shared" si="12"/>
        <v>November</v>
      </c>
      <c r="O298" s="4" t="str">
        <f t="shared" si="13"/>
        <v>Q4</v>
      </c>
      <c r="P298" s="4">
        <f t="shared" si="14"/>
        <v>2025</v>
      </c>
    </row>
    <row r="299" spans="1:16" x14ac:dyDescent="0.25">
      <c r="A299" s="4">
        <v>298</v>
      </c>
      <c r="B299" s="5">
        <v>45866</v>
      </c>
      <c r="C299" s="4" t="s">
        <v>48</v>
      </c>
      <c r="D299" s="4" t="s">
        <v>36</v>
      </c>
      <c r="E299" s="4" t="s">
        <v>344</v>
      </c>
      <c r="F299" s="4" t="s">
        <v>40</v>
      </c>
      <c r="G299" s="4" t="s">
        <v>16</v>
      </c>
      <c r="H299" s="4">
        <v>7</v>
      </c>
      <c r="I299" s="6">
        <v>500</v>
      </c>
      <c r="J299" s="6">
        <v>3500</v>
      </c>
      <c r="K299" t="str" cm="1">
        <f t="array" ref="K299">_xlfn.IFS(J299&lt;30000,"Low Value",J299&lt;=100000,"Medium Value",J299&gt;100000,"High Value")</f>
        <v>Low Value</v>
      </c>
      <c r="L299" s="4" t="s">
        <v>17</v>
      </c>
      <c r="M299" s="4" t="s">
        <v>24</v>
      </c>
      <c r="N299" s="4" t="str">
        <f t="shared" si="12"/>
        <v>July</v>
      </c>
      <c r="O299" s="4" t="str">
        <f t="shared" si="13"/>
        <v>Q3</v>
      </c>
      <c r="P299" s="4">
        <f t="shared" si="14"/>
        <v>2025</v>
      </c>
    </row>
    <row r="300" spans="1:16" x14ac:dyDescent="0.25">
      <c r="A300" s="4">
        <v>299</v>
      </c>
      <c r="B300" s="5">
        <v>45848</v>
      </c>
      <c r="C300" s="4" t="s">
        <v>12</v>
      </c>
      <c r="D300" s="4" t="s">
        <v>20</v>
      </c>
      <c r="E300" s="4" t="s">
        <v>345</v>
      </c>
      <c r="F300" s="4" t="s">
        <v>40</v>
      </c>
      <c r="G300" s="4" t="s">
        <v>16</v>
      </c>
      <c r="H300" s="4">
        <v>3</v>
      </c>
      <c r="I300" s="6">
        <v>500</v>
      </c>
      <c r="J300" s="6">
        <v>1500</v>
      </c>
      <c r="K300" t="str" cm="1">
        <f t="array" ref="K300">_xlfn.IFS(J300&lt;30000,"Low Value",J300&lt;=100000,"Medium Value",J300&gt;100000,"High Value")</f>
        <v>Low Value</v>
      </c>
      <c r="L300" s="4" t="s">
        <v>23</v>
      </c>
      <c r="M300" s="4" t="s">
        <v>24</v>
      </c>
      <c r="N300" s="4" t="str">
        <f t="shared" si="12"/>
        <v>July</v>
      </c>
      <c r="O300" s="4" t="str">
        <f t="shared" si="13"/>
        <v>Q3</v>
      </c>
      <c r="P300" s="4">
        <f t="shared" si="14"/>
        <v>2025</v>
      </c>
    </row>
    <row r="301" spans="1:16" x14ac:dyDescent="0.25">
      <c r="A301" s="4">
        <v>300</v>
      </c>
      <c r="B301" s="5">
        <v>45671</v>
      </c>
      <c r="C301" s="4" t="s">
        <v>34</v>
      </c>
      <c r="D301" s="4" t="s">
        <v>92</v>
      </c>
      <c r="E301" s="4" t="s">
        <v>346</v>
      </c>
      <c r="F301" s="4" t="s">
        <v>28</v>
      </c>
      <c r="G301" s="4" t="s">
        <v>29</v>
      </c>
      <c r="H301" s="4">
        <v>2</v>
      </c>
      <c r="I301" s="6">
        <v>3500</v>
      </c>
      <c r="J301" s="6">
        <v>7000</v>
      </c>
      <c r="K301" t="str" cm="1">
        <f t="array" ref="K301">_xlfn.IFS(J301&lt;30000,"Low Value",J301&lt;=100000,"Medium Value",J301&gt;100000,"High Value")</f>
        <v>Low Value</v>
      </c>
      <c r="L301" s="4" t="s">
        <v>23</v>
      </c>
      <c r="M301" s="4" t="s">
        <v>24</v>
      </c>
      <c r="N301" s="4" t="str">
        <f t="shared" si="12"/>
        <v>January</v>
      </c>
      <c r="O301" s="4" t="str">
        <f t="shared" si="13"/>
        <v>Q1</v>
      </c>
      <c r="P301" s="4">
        <f t="shared" si="14"/>
        <v>2025</v>
      </c>
    </row>
    <row r="302" spans="1:16" x14ac:dyDescent="0.25">
      <c r="A302" s="4">
        <v>301</v>
      </c>
      <c r="B302" s="5">
        <v>45910</v>
      </c>
      <c r="C302" s="4" t="s">
        <v>19</v>
      </c>
      <c r="D302" s="4" t="s">
        <v>36</v>
      </c>
      <c r="E302" s="4" t="s">
        <v>347</v>
      </c>
      <c r="F302" s="4" t="s">
        <v>40</v>
      </c>
      <c r="G302" s="4" t="s">
        <v>16</v>
      </c>
      <c r="H302" s="4">
        <v>5</v>
      </c>
      <c r="I302" s="6">
        <v>500</v>
      </c>
      <c r="J302" s="6">
        <v>2500</v>
      </c>
      <c r="K302" t="str" cm="1">
        <f t="array" ref="K302">_xlfn.IFS(J302&lt;30000,"Low Value",J302&lt;=100000,"Medium Value",J302&gt;100000,"High Value")</f>
        <v>Low Value</v>
      </c>
      <c r="L302" s="4" t="s">
        <v>23</v>
      </c>
      <c r="M302" s="4" t="s">
        <v>24</v>
      </c>
      <c r="N302" s="4" t="str">
        <f t="shared" si="12"/>
        <v>September</v>
      </c>
      <c r="O302" s="4" t="str">
        <f t="shared" si="13"/>
        <v>Q3</v>
      </c>
      <c r="P302" s="4">
        <f t="shared" si="14"/>
        <v>2025</v>
      </c>
    </row>
    <row r="303" spans="1:16" x14ac:dyDescent="0.25">
      <c r="A303" s="4">
        <v>302</v>
      </c>
      <c r="B303" s="5">
        <v>45734</v>
      </c>
      <c r="C303" s="4" t="s">
        <v>12</v>
      </c>
      <c r="D303" s="4" t="s">
        <v>44</v>
      </c>
      <c r="E303" s="4" t="s">
        <v>348</v>
      </c>
      <c r="F303" s="4" t="s">
        <v>22</v>
      </c>
      <c r="G303" s="4" t="s">
        <v>16</v>
      </c>
      <c r="H303" s="4">
        <v>5</v>
      </c>
      <c r="I303" s="6">
        <v>1200</v>
      </c>
      <c r="J303" s="6">
        <v>6000</v>
      </c>
      <c r="K303" t="str" cm="1">
        <f t="array" ref="K303">_xlfn.IFS(J303&lt;30000,"Low Value",J303&lt;=100000,"Medium Value",J303&gt;100000,"High Value")</f>
        <v>Low Value</v>
      </c>
      <c r="L303" s="4" t="s">
        <v>23</v>
      </c>
      <c r="M303" s="4" t="s">
        <v>24</v>
      </c>
      <c r="N303" s="4" t="str">
        <f t="shared" si="12"/>
        <v>March</v>
      </c>
      <c r="O303" s="4" t="str">
        <f t="shared" si="13"/>
        <v>Q1</v>
      </c>
      <c r="P303" s="4">
        <f t="shared" si="14"/>
        <v>2025</v>
      </c>
    </row>
    <row r="304" spans="1:16" x14ac:dyDescent="0.25">
      <c r="A304" s="4">
        <v>303</v>
      </c>
      <c r="B304" s="5">
        <v>45762</v>
      </c>
      <c r="C304" s="4" t="s">
        <v>34</v>
      </c>
      <c r="D304" s="4" t="s">
        <v>38</v>
      </c>
      <c r="E304" s="4" t="s">
        <v>349</v>
      </c>
      <c r="F304" s="4" t="s">
        <v>28</v>
      </c>
      <c r="G304" s="4" t="s">
        <v>29</v>
      </c>
      <c r="H304" s="4">
        <v>5</v>
      </c>
      <c r="I304" s="6">
        <v>3500</v>
      </c>
      <c r="J304" s="6">
        <v>17500</v>
      </c>
      <c r="K304" t="str" cm="1">
        <f t="array" ref="K304">_xlfn.IFS(J304&lt;30000,"Low Value",J304&lt;=100000,"Medium Value",J304&gt;100000,"High Value")</f>
        <v>Low Value</v>
      </c>
      <c r="L304" s="4" t="s">
        <v>33</v>
      </c>
      <c r="M304" s="4" t="s">
        <v>54</v>
      </c>
      <c r="N304" s="4" t="str">
        <f t="shared" si="12"/>
        <v>April</v>
      </c>
      <c r="O304" s="4" t="str">
        <f t="shared" si="13"/>
        <v>Q2</v>
      </c>
      <c r="P304" s="4">
        <f t="shared" si="14"/>
        <v>2025</v>
      </c>
    </row>
    <row r="305" spans="1:16" x14ac:dyDescent="0.25">
      <c r="A305" s="4">
        <v>304</v>
      </c>
      <c r="B305" s="5">
        <v>45806</v>
      </c>
      <c r="C305" s="4" t="s">
        <v>12</v>
      </c>
      <c r="D305" s="4" t="s">
        <v>38</v>
      </c>
      <c r="E305" s="4" t="s">
        <v>350</v>
      </c>
      <c r="F305" s="4" t="s">
        <v>47</v>
      </c>
      <c r="G305" s="4" t="s">
        <v>16</v>
      </c>
      <c r="H305" s="4">
        <v>10</v>
      </c>
      <c r="I305" s="6">
        <v>9000</v>
      </c>
      <c r="J305" s="6">
        <v>90000</v>
      </c>
      <c r="K305" t="str" cm="1">
        <f t="array" ref="K305">_xlfn.IFS(J305&lt;30000,"Low Value",J305&lt;=100000,"Medium Value",J305&gt;100000,"High Value")</f>
        <v>Medium Value</v>
      </c>
      <c r="L305" s="4" t="s">
        <v>43</v>
      </c>
      <c r="M305" s="4" t="s">
        <v>24</v>
      </c>
      <c r="N305" s="4" t="str">
        <f t="shared" si="12"/>
        <v>May</v>
      </c>
      <c r="O305" s="4" t="str">
        <f t="shared" si="13"/>
        <v>Q2</v>
      </c>
      <c r="P305" s="4">
        <f t="shared" si="14"/>
        <v>2025</v>
      </c>
    </row>
    <row r="306" spans="1:16" x14ac:dyDescent="0.25">
      <c r="A306" s="4">
        <v>305</v>
      </c>
      <c r="B306" s="5">
        <v>45825</v>
      </c>
      <c r="C306" s="4" t="s">
        <v>25</v>
      </c>
      <c r="D306" s="4" t="s">
        <v>97</v>
      </c>
      <c r="E306" s="4" t="s">
        <v>351</v>
      </c>
      <c r="F306" s="4" t="s">
        <v>22</v>
      </c>
      <c r="G306" s="4" t="s">
        <v>16</v>
      </c>
      <c r="H306" s="4">
        <v>9</v>
      </c>
      <c r="I306" s="6">
        <v>1200</v>
      </c>
      <c r="J306" s="6">
        <v>10800</v>
      </c>
      <c r="K306" t="str" cm="1">
        <f t="array" ref="K306">_xlfn.IFS(J306&lt;30000,"Low Value",J306&lt;=100000,"Medium Value",J306&gt;100000,"High Value")</f>
        <v>Low Value</v>
      </c>
      <c r="L306" s="4" t="s">
        <v>23</v>
      </c>
      <c r="M306" s="4" t="s">
        <v>18</v>
      </c>
      <c r="N306" s="4" t="str">
        <f t="shared" si="12"/>
        <v>June</v>
      </c>
      <c r="O306" s="4" t="str">
        <f t="shared" si="13"/>
        <v>Q2</v>
      </c>
      <c r="P306" s="4">
        <f t="shared" si="14"/>
        <v>2025</v>
      </c>
    </row>
    <row r="307" spans="1:16" x14ac:dyDescent="0.25">
      <c r="A307" s="4">
        <v>306</v>
      </c>
      <c r="B307" s="5">
        <v>45666</v>
      </c>
      <c r="C307" s="4" t="s">
        <v>34</v>
      </c>
      <c r="D307" s="4" t="s">
        <v>30</v>
      </c>
      <c r="E307" s="4" t="s">
        <v>352</v>
      </c>
      <c r="F307" s="4" t="s">
        <v>22</v>
      </c>
      <c r="G307" s="4" t="s">
        <v>16</v>
      </c>
      <c r="H307" s="4">
        <v>7</v>
      </c>
      <c r="I307" s="6">
        <v>1200</v>
      </c>
      <c r="J307" s="6">
        <v>8400</v>
      </c>
      <c r="K307" t="str" cm="1">
        <f t="array" ref="K307">_xlfn.IFS(J307&lt;30000,"Low Value",J307&lt;=100000,"Medium Value",J307&gt;100000,"High Value")</f>
        <v>Low Value</v>
      </c>
      <c r="L307" s="4" t="s">
        <v>17</v>
      </c>
      <c r="M307" s="4" t="s">
        <v>24</v>
      </c>
      <c r="N307" s="4" t="str">
        <f t="shared" si="12"/>
        <v>January</v>
      </c>
      <c r="O307" s="4" t="str">
        <f t="shared" si="13"/>
        <v>Q1</v>
      </c>
      <c r="P307" s="4">
        <f t="shared" si="14"/>
        <v>2025</v>
      </c>
    </row>
    <row r="308" spans="1:16" x14ac:dyDescent="0.25">
      <c r="A308" s="4">
        <v>307</v>
      </c>
      <c r="B308" s="5">
        <v>45871</v>
      </c>
      <c r="C308" s="4" t="s">
        <v>19</v>
      </c>
      <c r="D308" s="4" t="s">
        <v>64</v>
      </c>
      <c r="E308" s="4" t="s">
        <v>353</v>
      </c>
      <c r="F308" s="4" t="s">
        <v>47</v>
      </c>
      <c r="G308" s="4" t="s">
        <v>16</v>
      </c>
      <c r="H308" s="4">
        <v>8</v>
      </c>
      <c r="I308" s="6">
        <v>9000</v>
      </c>
      <c r="J308" s="6">
        <v>72000</v>
      </c>
      <c r="K308" t="str" cm="1">
        <f t="array" ref="K308">_xlfn.IFS(J308&lt;30000,"Low Value",J308&lt;=100000,"Medium Value",J308&gt;100000,"High Value")</f>
        <v>Medium Value</v>
      </c>
      <c r="L308" s="4" t="s">
        <v>17</v>
      </c>
      <c r="M308" s="4" t="s">
        <v>24</v>
      </c>
      <c r="N308" s="4" t="str">
        <f t="shared" si="12"/>
        <v>August</v>
      </c>
      <c r="O308" s="4" t="str">
        <f t="shared" si="13"/>
        <v>Q3</v>
      </c>
      <c r="P308" s="4">
        <f t="shared" si="14"/>
        <v>2025</v>
      </c>
    </row>
    <row r="309" spans="1:16" x14ac:dyDescent="0.25">
      <c r="A309" s="4">
        <v>308</v>
      </c>
      <c r="B309" s="5">
        <v>45660</v>
      </c>
      <c r="C309" s="4" t="s">
        <v>48</v>
      </c>
      <c r="D309" s="4" t="s">
        <v>13</v>
      </c>
      <c r="E309" s="4" t="s">
        <v>171</v>
      </c>
      <c r="F309" s="4" t="s">
        <v>32</v>
      </c>
      <c r="G309" s="4" t="s">
        <v>29</v>
      </c>
      <c r="H309" s="4">
        <v>6</v>
      </c>
      <c r="I309" s="6">
        <v>7000</v>
      </c>
      <c r="J309" s="6">
        <v>42000</v>
      </c>
      <c r="K309" t="str" cm="1">
        <f t="array" ref="K309">_xlfn.IFS(J309&lt;30000,"Low Value",J309&lt;=100000,"Medium Value",J309&gt;100000,"High Value")</f>
        <v>Medium Value</v>
      </c>
      <c r="L309" s="4" t="s">
        <v>23</v>
      </c>
      <c r="M309" s="4" t="s">
        <v>24</v>
      </c>
      <c r="N309" s="4" t="str">
        <f t="shared" si="12"/>
        <v>January</v>
      </c>
      <c r="O309" s="4" t="str">
        <f t="shared" si="13"/>
        <v>Q1</v>
      </c>
      <c r="P309" s="4">
        <f t="shared" si="14"/>
        <v>2025</v>
      </c>
    </row>
    <row r="310" spans="1:16" x14ac:dyDescent="0.25">
      <c r="A310" s="4">
        <v>309</v>
      </c>
      <c r="B310" s="5">
        <v>46006</v>
      </c>
      <c r="C310" s="4" t="s">
        <v>25</v>
      </c>
      <c r="D310" s="4" t="s">
        <v>121</v>
      </c>
      <c r="E310" s="4" t="s">
        <v>354</v>
      </c>
      <c r="F310" s="4" t="s">
        <v>32</v>
      </c>
      <c r="G310" s="4" t="s">
        <v>29</v>
      </c>
      <c r="H310" s="4">
        <v>9</v>
      </c>
      <c r="I310" s="6">
        <v>7000</v>
      </c>
      <c r="J310" s="6">
        <v>63000</v>
      </c>
      <c r="K310" t="str" cm="1">
        <f t="array" ref="K310">_xlfn.IFS(J310&lt;30000,"Low Value",J310&lt;=100000,"Medium Value",J310&gt;100000,"High Value")</f>
        <v>Medium Value</v>
      </c>
      <c r="L310" s="4" t="s">
        <v>17</v>
      </c>
      <c r="M310" s="4" t="s">
        <v>24</v>
      </c>
      <c r="N310" s="4" t="str">
        <f t="shared" si="12"/>
        <v>December</v>
      </c>
      <c r="O310" s="4" t="str">
        <f t="shared" si="13"/>
        <v>Q4</v>
      </c>
      <c r="P310" s="4">
        <f t="shared" si="14"/>
        <v>2025</v>
      </c>
    </row>
    <row r="311" spans="1:16" x14ac:dyDescent="0.25">
      <c r="A311" s="4">
        <v>310</v>
      </c>
      <c r="B311" s="5">
        <v>45913</v>
      </c>
      <c r="C311" s="4" t="s">
        <v>25</v>
      </c>
      <c r="D311" s="4" t="s">
        <v>66</v>
      </c>
      <c r="E311" s="4" t="s">
        <v>355</v>
      </c>
      <c r="F311" s="4" t="s">
        <v>40</v>
      </c>
      <c r="G311" s="4" t="s">
        <v>16</v>
      </c>
      <c r="H311" s="4">
        <v>8</v>
      </c>
      <c r="I311" s="6">
        <v>500</v>
      </c>
      <c r="J311" s="6">
        <v>4000</v>
      </c>
      <c r="K311" t="str" cm="1">
        <f t="array" ref="K311">_xlfn.IFS(J311&lt;30000,"Low Value",J311&lt;=100000,"Medium Value",J311&gt;100000,"High Value")</f>
        <v>Low Value</v>
      </c>
      <c r="L311" s="4" t="s">
        <v>33</v>
      </c>
      <c r="M311" s="4" t="s">
        <v>54</v>
      </c>
      <c r="N311" s="4" t="str">
        <f t="shared" si="12"/>
        <v>September</v>
      </c>
      <c r="O311" s="4" t="str">
        <f t="shared" si="13"/>
        <v>Q3</v>
      </c>
      <c r="P311" s="4">
        <f t="shared" si="14"/>
        <v>2025</v>
      </c>
    </row>
    <row r="312" spans="1:16" x14ac:dyDescent="0.25">
      <c r="A312" s="4">
        <v>311</v>
      </c>
      <c r="B312" s="5">
        <v>45709</v>
      </c>
      <c r="C312" s="4" t="s">
        <v>48</v>
      </c>
      <c r="D312" s="4" t="s">
        <v>26</v>
      </c>
      <c r="E312" s="4" t="s">
        <v>356</v>
      </c>
      <c r="F312" s="4" t="s">
        <v>28</v>
      </c>
      <c r="G312" s="4" t="s">
        <v>29</v>
      </c>
      <c r="H312" s="4">
        <v>9</v>
      </c>
      <c r="I312" s="6">
        <v>3500</v>
      </c>
      <c r="J312" s="6">
        <v>31500</v>
      </c>
      <c r="K312" t="str" cm="1">
        <f t="array" ref="K312">_xlfn.IFS(J312&lt;30000,"Low Value",J312&lt;=100000,"Medium Value",J312&gt;100000,"High Value")</f>
        <v>Medium Value</v>
      </c>
      <c r="L312" s="4" t="s">
        <v>43</v>
      </c>
      <c r="M312" s="4" t="s">
        <v>24</v>
      </c>
      <c r="N312" s="4" t="str">
        <f t="shared" si="12"/>
        <v>February</v>
      </c>
      <c r="O312" s="4" t="str">
        <f t="shared" si="13"/>
        <v>Q1</v>
      </c>
      <c r="P312" s="4">
        <f t="shared" si="14"/>
        <v>2025</v>
      </c>
    </row>
    <row r="313" spans="1:16" x14ac:dyDescent="0.25">
      <c r="A313" s="4">
        <v>312</v>
      </c>
      <c r="B313" s="5">
        <v>45752</v>
      </c>
      <c r="C313" s="4" t="s">
        <v>48</v>
      </c>
      <c r="D313" s="4" t="s">
        <v>49</v>
      </c>
      <c r="E313" s="4" t="s">
        <v>357</v>
      </c>
      <c r="F313" s="4" t="s">
        <v>28</v>
      </c>
      <c r="G313" s="4" t="s">
        <v>29</v>
      </c>
      <c r="H313" s="4">
        <v>7</v>
      </c>
      <c r="I313" s="6">
        <v>3500</v>
      </c>
      <c r="J313" s="6">
        <v>24500</v>
      </c>
      <c r="K313" t="str" cm="1">
        <f t="array" ref="K313">_xlfn.IFS(J313&lt;30000,"Low Value",J313&lt;=100000,"Medium Value",J313&gt;100000,"High Value")</f>
        <v>Low Value</v>
      </c>
      <c r="L313" s="4" t="s">
        <v>23</v>
      </c>
      <c r="M313" s="4" t="s">
        <v>24</v>
      </c>
      <c r="N313" s="4" t="str">
        <f t="shared" si="12"/>
        <v>April</v>
      </c>
      <c r="O313" s="4" t="str">
        <f t="shared" si="13"/>
        <v>Q2</v>
      </c>
      <c r="P313" s="4">
        <f t="shared" si="14"/>
        <v>2025</v>
      </c>
    </row>
    <row r="314" spans="1:16" x14ac:dyDescent="0.25">
      <c r="A314" s="4">
        <v>313</v>
      </c>
      <c r="B314" s="5">
        <v>45969</v>
      </c>
      <c r="C314" s="4" t="s">
        <v>19</v>
      </c>
      <c r="D314" s="4" t="s">
        <v>85</v>
      </c>
      <c r="E314" s="4" t="s">
        <v>107</v>
      </c>
      <c r="F314" s="4" t="s">
        <v>32</v>
      </c>
      <c r="G314" s="4" t="s">
        <v>29</v>
      </c>
      <c r="H314" s="4">
        <v>10</v>
      </c>
      <c r="I314" s="6">
        <v>7000</v>
      </c>
      <c r="J314" s="6">
        <v>70000</v>
      </c>
      <c r="K314" t="str" cm="1">
        <f t="array" ref="K314">_xlfn.IFS(J314&lt;30000,"Low Value",J314&lt;=100000,"Medium Value",J314&gt;100000,"High Value")</f>
        <v>Medium Value</v>
      </c>
      <c r="L314" s="4" t="s">
        <v>23</v>
      </c>
      <c r="M314" s="4" t="s">
        <v>24</v>
      </c>
      <c r="N314" s="4" t="str">
        <f t="shared" si="12"/>
        <v>November</v>
      </c>
      <c r="O314" s="4" t="str">
        <f t="shared" si="13"/>
        <v>Q4</v>
      </c>
      <c r="P314" s="4">
        <f t="shared" si="14"/>
        <v>2025</v>
      </c>
    </row>
    <row r="315" spans="1:16" x14ac:dyDescent="0.25">
      <c r="A315" s="4">
        <v>314</v>
      </c>
      <c r="B315" s="5">
        <v>46004</v>
      </c>
      <c r="C315" s="4" t="s">
        <v>34</v>
      </c>
      <c r="D315" s="4" t="s">
        <v>121</v>
      </c>
      <c r="E315" s="4" t="s">
        <v>358</v>
      </c>
      <c r="F315" s="4" t="s">
        <v>22</v>
      </c>
      <c r="G315" s="4" t="s">
        <v>16</v>
      </c>
      <c r="H315" s="4">
        <v>8</v>
      </c>
      <c r="I315" s="6">
        <v>1200</v>
      </c>
      <c r="J315" s="6">
        <v>9600</v>
      </c>
      <c r="K315" t="str" cm="1">
        <f t="array" ref="K315">_xlfn.IFS(J315&lt;30000,"Low Value",J315&lt;=100000,"Medium Value",J315&gt;100000,"High Value")</f>
        <v>Low Value</v>
      </c>
      <c r="L315" s="4" t="s">
        <v>43</v>
      </c>
      <c r="M315" s="4" t="s">
        <v>54</v>
      </c>
      <c r="N315" s="4" t="str">
        <f t="shared" si="12"/>
        <v>December</v>
      </c>
      <c r="O315" s="4" t="str">
        <f t="shared" si="13"/>
        <v>Q4</v>
      </c>
      <c r="P315" s="4">
        <f t="shared" si="14"/>
        <v>2025</v>
      </c>
    </row>
    <row r="316" spans="1:16" x14ac:dyDescent="0.25">
      <c r="A316" s="4">
        <v>315</v>
      </c>
      <c r="B316" s="5">
        <v>45688</v>
      </c>
      <c r="C316" s="4" t="s">
        <v>19</v>
      </c>
      <c r="D316" s="4" t="s">
        <v>30</v>
      </c>
      <c r="E316" s="4" t="s">
        <v>359</v>
      </c>
      <c r="F316" s="4" t="s">
        <v>15</v>
      </c>
      <c r="G316" s="4" t="s">
        <v>16</v>
      </c>
      <c r="H316" s="4">
        <v>5</v>
      </c>
      <c r="I316" s="6">
        <v>55000</v>
      </c>
      <c r="J316" s="6">
        <v>275000</v>
      </c>
      <c r="K316" t="str" cm="1">
        <f t="array" ref="K316">_xlfn.IFS(J316&lt;30000,"Low Value",J316&lt;=100000,"Medium Value",J316&gt;100000,"High Value")</f>
        <v>High Value</v>
      </c>
      <c r="L316" s="4" t="s">
        <v>17</v>
      </c>
      <c r="M316" s="4" t="s">
        <v>24</v>
      </c>
      <c r="N316" s="4" t="str">
        <f t="shared" si="12"/>
        <v>January</v>
      </c>
      <c r="O316" s="4" t="str">
        <f t="shared" si="13"/>
        <v>Q1</v>
      </c>
      <c r="P316" s="4">
        <f t="shared" si="14"/>
        <v>2025</v>
      </c>
    </row>
    <row r="317" spans="1:16" x14ac:dyDescent="0.25">
      <c r="A317" s="4">
        <v>316</v>
      </c>
      <c r="B317" s="5">
        <v>45772</v>
      </c>
      <c r="C317" s="4" t="s">
        <v>34</v>
      </c>
      <c r="D317" s="4" t="s">
        <v>26</v>
      </c>
      <c r="E317" s="4" t="s">
        <v>360</v>
      </c>
      <c r="F317" s="4" t="s">
        <v>28</v>
      </c>
      <c r="G317" s="4" t="s">
        <v>29</v>
      </c>
      <c r="H317" s="4">
        <v>10</v>
      </c>
      <c r="I317" s="6">
        <v>3500</v>
      </c>
      <c r="J317" s="6">
        <v>35000</v>
      </c>
      <c r="K317" t="str" cm="1">
        <f t="array" ref="K317">_xlfn.IFS(J317&lt;30000,"Low Value",J317&lt;=100000,"Medium Value",J317&gt;100000,"High Value")</f>
        <v>Medium Value</v>
      </c>
      <c r="L317" s="4" t="s">
        <v>43</v>
      </c>
      <c r="M317" s="4" t="s">
        <v>24</v>
      </c>
      <c r="N317" s="4" t="str">
        <f t="shared" si="12"/>
        <v>April</v>
      </c>
      <c r="O317" s="4" t="str">
        <f t="shared" si="13"/>
        <v>Q2</v>
      </c>
      <c r="P317" s="4">
        <f t="shared" si="14"/>
        <v>2025</v>
      </c>
    </row>
    <row r="318" spans="1:16" x14ac:dyDescent="0.25">
      <c r="A318" s="4">
        <v>317</v>
      </c>
      <c r="B318" s="5">
        <v>45980</v>
      </c>
      <c r="C318" s="4" t="s">
        <v>12</v>
      </c>
      <c r="D318" s="4" t="s">
        <v>13</v>
      </c>
      <c r="E318" s="4" t="s">
        <v>361</v>
      </c>
      <c r="F318" s="4" t="s">
        <v>22</v>
      </c>
      <c r="G318" s="4" t="s">
        <v>16</v>
      </c>
      <c r="H318" s="4">
        <v>6</v>
      </c>
      <c r="I318" s="6">
        <v>1200</v>
      </c>
      <c r="J318" s="6">
        <v>7200</v>
      </c>
      <c r="K318" t="str" cm="1">
        <f t="array" ref="K318">_xlfn.IFS(J318&lt;30000,"Low Value",J318&lt;=100000,"Medium Value",J318&gt;100000,"High Value")</f>
        <v>Low Value</v>
      </c>
      <c r="L318" s="4" t="s">
        <v>43</v>
      </c>
      <c r="M318" s="4" t="s">
        <v>24</v>
      </c>
      <c r="N318" s="4" t="str">
        <f t="shared" si="12"/>
        <v>November</v>
      </c>
      <c r="O318" s="4" t="str">
        <f t="shared" si="13"/>
        <v>Q4</v>
      </c>
      <c r="P318" s="4">
        <f t="shared" si="14"/>
        <v>2025</v>
      </c>
    </row>
    <row r="319" spans="1:16" x14ac:dyDescent="0.25">
      <c r="A319" s="4">
        <v>318</v>
      </c>
      <c r="B319" s="5">
        <v>45876</v>
      </c>
      <c r="C319" s="4" t="s">
        <v>12</v>
      </c>
      <c r="D319" s="4" t="s">
        <v>26</v>
      </c>
      <c r="E319" s="4" t="s">
        <v>362</v>
      </c>
      <c r="F319" s="4" t="s">
        <v>22</v>
      </c>
      <c r="G319" s="4" t="s">
        <v>16</v>
      </c>
      <c r="H319" s="4">
        <v>6</v>
      </c>
      <c r="I319" s="6">
        <v>1200</v>
      </c>
      <c r="J319" s="6">
        <v>7200</v>
      </c>
      <c r="K319" t="str" cm="1">
        <f t="array" ref="K319">_xlfn.IFS(J319&lt;30000,"Low Value",J319&lt;=100000,"Medium Value",J319&gt;100000,"High Value")</f>
        <v>Low Value</v>
      </c>
      <c r="L319" s="4" t="s">
        <v>17</v>
      </c>
      <c r="M319" s="4" t="s">
        <v>24</v>
      </c>
      <c r="N319" s="4" t="str">
        <f t="shared" si="12"/>
        <v>August</v>
      </c>
      <c r="O319" s="4" t="str">
        <f t="shared" si="13"/>
        <v>Q3</v>
      </c>
      <c r="P319" s="4">
        <f t="shared" si="14"/>
        <v>2025</v>
      </c>
    </row>
    <row r="320" spans="1:16" x14ac:dyDescent="0.25">
      <c r="A320" s="4">
        <v>319</v>
      </c>
      <c r="B320" s="5">
        <v>46017</v>
      </c>
      <c r="C320" s="4" t="s">
        <v>48</v>
      </c>
      <c r="D320" s="4" t="s">
        <v>20</v>
      </c>
      <c r="E320" s="4" t="s">
        <v>363</v>
      </c>
      <c r="F320" s="4" t="s">
        <v>15</v>
      </c>
      <c r="G320" s="4" t="s">
        <v>16</v>
      </c>
      <c r="H320" s="4">
        <v>8</v>
      </c>
      <c r="I320" s="6">
        <v>55000</v>
      </c>
      <c r="J320" s="6">
        <v>440000</v>
      </c>
      <c r="K320" t="str" cm="1">
        <f t="array" ref="K320">_xlfn.IFS(J320&lt;30000,"Low Value",J320&lt;=100000,"Medium Value",J320&gt;100000,"High Value")</f>
        <v>High Value</v>
      </c>
      <c r="L320" s="4" t="s">
        <v>23</v>
      </c>
      <c r="M320" s="4" t="s">
        <v>24</v>
      </c>
      <c r="N320" s="4" t="str">
        <f t="shared" si="12"/>
        <v>December</v>
      </c>
      <c r="O320" s="4" t="str">
        <f t="shared" si="13"/>
        <v>Q4</v>
      </c>
      <c r="P320" s="4">
        <f t="shared" si="14"/>
        <v>2025</v>
      </c>
    </row>
    <row r="321" spans="1:16" x14ac:dyDescent="0.25">
      <c r="A321" s="4">
        <v>320</v>
      </c>
      <c r="B321" s="5">
        <v>46002</v>
      </c>
      <c r="C321" s="4" t="s">
        <v>25</v>
      </c>
      <c r="D321" s="4" t="s">
        <v>92</v>
      </c>
      <c r="E321" s="4" t="s">
        <v>364</v>
      </c>
      <c r="F321" s="4" t="s">
        <v>22</v>
      </c>
      <c r="G321" s="4" t="s">
        <v>16</v>
      </c>
      <c r="H321" s="4">
        <v>8</v>
      </c>
      <c r="I321" s="6">
        <v>1200</v>
      </c>
      <c r="J321" s="6">
        <v>9600</v>
      </c>
      <c r="K321" t="str" cm="1">
        <f t="array" ref="K321">_xlfn.IFS(J321&lt;30000,"Low Value",J321&lt;=100000,"Medium Value",J321&gt;100000,"High Value")</f>
        <v>Low Value</v>
      </c>
      <c r="L321" s="4" t="s">
        <v>17</v>
      </c>
      <c r="M321" s="4" t="s">
        <v>54</v>
      </c>
      <c r="N321" s="4" t="str">
        <f t="shared" si="12"/>
        <v>December</v>
      </c>
      <c r="O321" s="4" t="str">
        <f t="shared" si="13"/>
        <v>Q4</v>
      </c>
      <c r="P321" s="4">
        <f t="shared" si="14"/>
        <v>2025</v>
      </c>
    </row>
    <row r="322" spans="1:16" x14ac:dyDescent="0.25">
      <c r="A322" s="4">
        <v>321</v>
      </c>
      <c r="B322" s="5">
        <v>45707</v>
      </c>
      <c r="C322" s="4" t="s">
        <v>12</v>
      </c>
      <c r="D322" s="4" t="s">
        <v>26</v>
      </c>
      <c r="E322" s="4" t="s">
        <v>46</v>
      </c>
      <c r="F322" s="4" t="s">
        <v>28</v>
      </c>
      <c r="G322" s="4" t="s">
        <v>29</v>
      </c>
      <c r="H322" s="4">
        <v>6</v>
      </c>
      <c r="I322" s="6">
        <v>3500</v>
      </c>
      <c r="J322" s="6">
        <v>21000</v>
      </c>
      <c r="K322" t="str" cm="1">
        <f t="array" ref="K322">_xlfn.IFS(J322&lt;30000,"Low Value",J322&lt;=100000,"Medium Value",J322&gt;100000,"High Value")</f>
        <v>Low Value</v>
      </c>
      <c r="L322" s="4" t="s">
        <v>17</v>
      </c>
      <c r="M322" s="4" t="s">
        <v>54</v>
      </c>
      <c r="N322" s="4" t="str">
        <f t="shared" si="12"/>
        <v>February</v>
      </c>
      <c r="O322" s="4" t="str">
        <f t="shared" si="13"/>
        <v>Q1</v>
      </c>
      <c r="P322" s="4">
        <f t="shared" si="14"/>
        <v>2025</v>
      </c>
    </row>
    <row r="323" spans="1:16" x14ac:dyDescent="0.25">
      <c r="A323" s="4">
        <v>322</v>
      </c>
      <c r="B323" s="5">
        <v>45785</v>
      </c>
      <c r="C323" s="4" t="s">
        <v>25</v>
      </c>
      <c r="D323" s="4" t="s">
        <v>30</v>
      </c>
      <c r="E323" s="4" t="s">
        <v>365</v>
      </c>
      <c r="F323" s="4" t="s">
        <v>32</v>
      </c>
      <c r="G323" s="4" t="s">
        <v>29</v>
      </c>
      <c r="H323" s="4">
        <v>9</v>
      </c>
      <c r="I323" s="6">
        <v>7000</v>
      </c>
      <c r="J323" s="6">
        <v>63000</v>
      </c>
      <c r="K323" t="str" cm="1">
        <f t="array" ref="K323">_xlfn.IFS(J323&lt;30000,"Low Value",J323&lt;=100000,"Medium Value",J323&gt;100000,"High Value")</f>
        <v>Medium Value</v>
      </c>
      <c r="L323" s="4" t="s">
        <v>43</v>
      </c>
      <c r="M323" s="4" t="s">
        <v>24</v>
      </c>
      <c r="N323" s="4" t="str">
        <f t="shared" ref="N323:N386" si="15">TEXT(B323,"MMMM")</f>
        <v>May</v>
      </c>
      <c r="O323" s="4" t="str">
        <f t="shared" ref="O323:O386" si="16">"Q"&amp;ROUNDUP(MONTH(B323)/3,0)</f>
        <v>Q2</v>
      </c>
      <c r="P323" s="4">
        <f t="shared" ref="P323:P386" si="17">YEAR(B:B)</f>
        <v>2025</v>
      </c>
    </row>
    <row r="324" spans="1:16" x14ac:dyDescent="0.25">
      <c r="A324" s="4">
        <v>323</v>
      </c>
      <c r="B324" s="5">
        <v>45926</v>
      </c>
      <c r="C324" s="4" t="s">
        <v>25</v>
      </c>
      <c r="D324" s="4" t="s">
        <v>49</v>
      </c>
      <c r="E324" s="4" t="s">
        <v>366</v>
      </c>
      <c r="F324" s="4" t="s">
        <v>32</v>
      </c>
      <c r="G324" s="4" t="s">
        <v>29</v>
      </c>
      <c r="H324" s="4">
        <v>1</v>
      </c>
      <c r="I324" s="6">
        <v>7000</v>
      </c>
      <c r="J324" s="6">
        <v>7000</v>
      </c>
      <c r="K324" t="str" cm="1">
        <f t="array" ref="K324">_xlfn.IFS(J324&lt;30000,"Low Value",J324&lt;=100000,"Medium Value",J324&gt;100000,"High Value")</f>
        <v>Low Value</v>
      </c>
      <c r="L324" s="4" t="s">
        <v>33</v>
      </c>
      <c r="M324" s="4" t="s">
        <v>24</v>
      </c>
      <c r="N324" s="4" t="str">
        <f t="shared" si="15"/>
        <v>September</v>
      </c>
      <c r="O324" s="4" t="str">
        <f t="shared" si="16"/>
        <v>Q3</v>
      </c>
      <c r="P324" s="4">
        <f t="shared" si="17"/>
        <v>2025</v>
      </c>
    </row>
    <row r="325" spans="1:16" x14ac:dyDescent="0.25">
      <c r="A325" s="4">
        <v>324</v>
      </c>
      <c r="B325" s="5">
        <v>45969</v>
      </c>
      <c r="C325" s="4" t="s">
        <v>25</v>
      </c>
      <c r="D325" s="4" t="s">
        <v>71</v>
      </c>
      <c r="E325" s="4" t="s">
        <v>367</v>
      </c>
      <c r="F325" s="4" t="s">
        <v>32</v>
      </c>
      <c r="G325" s="4" t="s">
        <v>29</v>
      </c>
      <c r="H325" s="4">
        <v>4</v>
      </c>
      <c r="I325" s="6">
        <v>7000</v>
      </c>
      <c r="J325" s="6">
        <v>28000</v>
      </c>
      <c r="K325" t="str" cm="1">
        <f t="array" ref="K325">_xlfn.IFS(J325&lt;30000,"Low Value",J325&lt;=100000,"Medium Value",J325&gt;100000,"High Value")</f>
        <v>Low Value</v>
      </c>
      <c r="L325" s="4" t="s">
        <v>17</v>
      </c>
      <c r="M325" s="4" t="s">
        <v>24</v>
      </c>
      <c r="N325" s="4" t="str">
        <f t="shared" si="15"/>
        <v>November</v>
      </c>
      <c r="O325" s="4" t="str">
        <f t="shared" si="16"/>
        <v>Q4</v>
      </c>
      <c r="P325" s="4">
        <f t="shared" si="17"/>
        <v>2025</v>
      </c>
    </row>
    <row r="326" spans="1:16" x14ac:dyDescent="0.25">
      <c r="A326" s="4">
        <v>325</v>
      </c>
      <c r="B326" s="5">
        <v>45937</v>
      </c>
      <c r="C326" s="4" t="s">
        <v>25</v>
      </c>
      <c r="D326" s="4" t="s">
        <v>66</v>
      </c>
      <c r="E326" s="4" t="s">
        <v>368</v>
      </c>
      <c r="F326" s="4" t="s">
        <v>22</v>
      </c>
      <c r="G326" s="4" t="s">
        <v>16</v>
      </c>
      <c r="H326" s="4">
        <v>6</v>
      </c>
      <c r="I326" s="6">
        <v>1200</v>
      </c>
      <c r="J326" s="6">
        <v>7200</v>
      </c>
      <c r="K326" t="str" cm="1">
        <f t="array" ref="K326">_xlfn.IFS(J326&lt;30000,"Low Value",J326&lt;=100000,"Medium Value",J326&gt;100000,"High Value")</f>
        <v>Low Value</v>
      </c>
      <c r="L326" s="4" t="s">
        <v>33</v>
      </c>
      <c r="M326" s="4" t="s">
        <v>24</v>
      </c>
      <c r="N326" s="4" t="str">
        <f t="shared" si="15"/>
        <v>October</v>
      </c>
      <c r="O326" s="4" t="str">
        <f t="shared" si="16"/>
        <v>Q4</v>
      </c>
      <c r="P326" s="4">
        <f t="shared" si="17"/>
        <v>2025</v>
      </c>
    </row>
    <row r="327" spans="1:16" x14ac:dyDescent="0.25">
      <c r="A327" s="4">
        <v>326</v>
      </c>
      <c r="B327" s="5">
        <v>45673</v>
      </c>
      <c r="C327" s="4" t="s">
        <v>25</v>
      </c>
      <c r="D327" s="4" t="s">
        <v>30</v>
      </c>
      <c r="E327" s="4" t="s">
        <v>369</v>
      </c>
      <c r="F327" s="4" t="s">
        <v>15</v>
      </c>
      <c r="G327" s="4" t="s">
        <v>16</v>
      </c>
      <c r="H327" s="4">
        <v>2</v>
      </c>
      <c r="I327" s="6">
        <v>55000</v>
      </c>
      <c r="J327" s="6">
        <v>110000</v>
      </c>
      <c r="K327" t="str" cm="1">
        <f t="array" ref="K327">_xlfn.IFS(J327&lt;30000,"Low Value",J327&lt;=100000,"Medium Value",J327&gt;100000,"High Value")</f>
        <v>High Value</v>
      </c>
      <c r="L327" s="4" t="s">
        <v>17</v>
      </c>
      <c r="M327" s="4" t="s">
        <v>54</v>
      </c>
      <c r="N327" s="4" t="str">
        <f t="shared" si="15"/>
        <v>January</v>
      </c>
      <c r="O327" s="4" t="str">
        <f t="shared" si="16"/>
        <v>Q1</v>
      </c>
      <c r="P327" s="4">
        <f t="shared" si="17"/>
        <v>2025</v>
      </c>
    </row>
    <row r="328" spans="1:16" x14ac:dyDescent="0.25">
      <c r="A328" s="4">
        <v>327</v>
      </c>
      <c r="B328" s="5">
        <v>45802</v>
      </c>
      <c r="C328" s="4" t="s">
        <v>48</v>
      </c>
      <c r="D328" s="4" t="s">
        <v>92</v>
      </c>
      <c r="E328" s="4" t="s">
        <v>370</v>
      </c>
      <c r="F328" s="4" t="s">
        <v>15</v>
      </c>
      <c r="G328" s="4" t="s">
        <v>16</v>
      </c>
      <c r="H328" s="4">
        <v>7</v>
      </c>
      <c r="I328" s="6">
        <v>55000</v>
      </c>
      <c r="J328" s="6">
        <v>385000</v>
      </c>
      <c r="K328" t="str" cm="1">
        <f t="array" ref="K328">_xlfn.IFS(J328&lt;30000,"Low Value",J328&lt;=100000,"Medium Value",J328&gt;100000,"High Value")</f>
        <v>High Value</v>
      </c>
      <c r="L328" s="4" t="s">
        <v>33</v>
      </c>
      <c r="M328" s="4" t="s">
        <v>24</v>
      </c>
      <c r="N328" s="4" t="str">
        <f t="shared" si="15"/>
        <v>May</v>
      </c>
      <c r="O328" s="4" t="str">
        <f t="shared" si="16"/>
        <v>Q2</v>
      </c>
      <c r="P328" s="4">
        <f t="shared" si="17"/>
        <v>2025</v>
      </c>
    </row>
    <row r="329" spans="1:16" x14ac:dyDescent="0.25">
      <c r="A329" s="4">
        <v>328</v>
      </c>
      <c r="B329" s="5">
        <v>45771</v>
      </c>
      <c r="C329" s="4" t="s">
        <v>34</v>
      </c>
      <c r="D329" s="4" t="s">
        <v>73</v>
      </c>
      <c r="E329" s="4" t="s">
        <v>217</v>
      </c>
      <c r="F329" s="4" t="s">
        <v>22</v>
      </c>
      <c r="G329" s="4" t="s">
        <v>16</v>
      </c>
      <c r="H329" s="4">
        <v>8</v>
      </c>
      <c r="I329" s="6">
        <v>1200</v>
      </c>
      <c r="J329" s="6">
        <v>9600</v>
      </c>
      <c r="K329" t="str" cm="1">
        <f t="array" ref="K329">_xlfn.IFS(J329&lt;30000,"Low Value",J329&lt;=100000,"Medium Value",J329&gt;100000,"High Value")</f>
        <v>Low Value</v>
      </c>
      <c r="L329" s="4" t="s">
        <v>23</v>
      </c>
      <c r="M329" s="4" t="s">
        <v>24</v>
      </c>
      <c r="N329" s="4" t="str">
        <f t="shared" si="15"/>
        <v>April</v>
      </c>
      <c r="O329" s="4" t="str">
        <f t="shared" si="16"/>
        <v>Q2</v>
      </c>
      <c r="P329" s="4">
        <f t="shared" si="17"/>
        <v>2025</v>
      </c>
    </row>
    <row r="330" spans="1:16" x14ac:dyDescent="0.25">
      <c r="A330" s="4">
        <v>329</v>
      </c>
      <c r="B330" s="5">
        <v>45718</v>
      </c>
      <c r="C330" s="4" t="s">
        <v>48</v>
      </c>
      <c r="D330" s="4" t="s">
        <v>66</v>
      </c>
      <c r="E330" s="4" t="s">
        <v>371</v>
      </c>
      <c r="F330" s="4" t="s">
        <v>22</v>
      </c>
      <c r="G330" s="4" t="s">
        <v>16</v>
      </c>
      <c r="H330" s="4">
        <v>5</v>
      </c>
      <c r="I330" s="6">
        <v>1200</v>
      </c>
      <c r="J330" s="6">
        <v>6000</v>
      </c>
      <c r="K330" t="str" cm="1">
        <f t="array" ref="K330">_xlfn.IFS(J330&lt;30000,"Low Value",J330&lt;=100000,"Medium Value",J330&gt;100000,"High Value")</f>
        <v>Low Value</v>
      </c>
      <c r="L330" s="4" t="s">
        <v>33</v>
      </c>
      <c r="M330" s="4" t="s">
        <v>24</v>
      </c>
      <c r="N330" s="4" t="str">
        <f t="shared" si="15"/>
        <v>March</v>
      </c>
      <c r="O330" s="4" t="str">
        <f t="shared" si="16"/>
        <v>Q1</v>
      </c>
      <c r="P330" s="4">
        <f t="shared" si="17"/>
        <v>2025</v>
      </c>
    </row>
    <row r="331" spans="1:16" x14ac:dyDescent="0.25">
      <c r="A331" s="4">
        <v>330</v>
      </c>
      <c r="B331" s="5">
        <v>45906</v>
      </c>
      <c r="C331" s="4" t="s">
        <v>25</v>
      </c>
      <c r="D331" s="4" t="s">
        <v>13</v>
      </c>
      <c r="E331" s="4" t="s">
        <v>372</v>
      </c>
      <c r="F331" s="4" t="s">
        <v>40</v>
      </c>
      <c r="G331" s="4" t="s">
        <v>16</v>
      </c>
      <c r="H331" s="4">
        <v>8</v>
      </c>
      <c r="I331" s="6">
        <v>500</v>
      </c>
      <c r="J331" s="6">
        <v>4000</v>
      </c>
      <c r="K331" t="str" cm="1">
        <f t="array" ref="K331">_xlfn.IFS(J331&lt;30000,"Low Value",J331&lt;=100000,"Medium Value",J331&gt;100000,"High Value")</f>
        <v>Low Value</v>
      </c>
      <c r="L331" s="4" t="s">
        <v>17</v>
      </c>
      <c r="M331" s="4" t="s">
        <v>24</v>
      </c>
      <c r="N331" s="4" t="str">
        <f t="shared" si="15"/>
        <v>September</v>
      </c>
      <c r="O331" s="4" t="str">
        <f t="shared" si="16"/>
        <v>Q3</v>
      </c>
      <c r="P331" s="4">
        <f t="shared" si="17"/>
        <v>2025</v>
      </c>
    </row>
    <row r="332" spans="1:16" x14ac:dyDescent="0.25">
      <c r="A332" s="4">
        <v>331</v>
      </c>
      <c r="B332" s="5">
        <v>45695</v>
      </c>
      <c r="C332" s="4" t="s">
        <v>12</v>
      </c>
      <c r="D332" s="4" t="s">
        <v>121</v>
      </c>
      <c r="E332" s="4" t="s">
        <v>373</v>
      </c>
      <c r="F332" s="4" t="s">
        <v>47</v>
      </c>
      <c r="G332" s="4" t="s">
        <v>16</v>
      </c>
      <c r="H332" s="4">
        <v>8</v>
      </c>
      <c r="I332" s="6">
        <v>9000</v>
      </c>
      <c r="J332" s="6">
        <v>72000</v>
      </c>
      <c r="K332" t="str" cm="1">
        <f t="array" ref="K332">_xlfn.IFS(J332&lt;30000,"Low Value",J332&lt;=100000,"Medium Value",J332&gt;100000,"High Value")</f>
        <v>Medium Value</v>
      </c>
      <c r="L332" s="4" t="s">
        <v>17</v>
      </c>
      <c r="M332" s="4" t="s">
        <v>24</v>
      </c>
      <c r="N332" s="4" t="str">
        <f t="shared" si="15"/>
        <v>February</v>
      </c>
      <c r="O332" s="4" t="str">
        <f t="shared" si="16"/>
        <v>Q1</v>
      </c>
      <c r="P332" s="4">
        <f t="shared" si="17"/>
        <v>2025</v>
      </c>
    </row>
    <row r="333" spans="1:16" x14ac:dyDescent="0.25">
      <c r="A333" s="4">
        <v>332</v>
      </c>
      <c r="B333" s="5">
        <v>45777</v>
      </c>
      <c r="C333" s="4" t="s">
        <v>48</v>
      </c>
      <c r="D333" s="4" t="s">
        <v>85</v>
      </c>
      <c r="E333" s="4" t="s">
        <v>374</v>
      </c>
      <c r="F333" s="4" t="s">
        <v>22</v>
      </c>
      <c r="G333" s="4" t="s">
        <v>16</v>
      </c>
      <c r="H333" s="4">
        <v>4</v>
      </c>
      <c r="I333" s="6">
        <v>1200</v>
      </c>
      <c r="J333" s="6">
        <v>4800</v>
      </c>
      <c r="K333" t="str" cm="1">
        <f t="array" ref="K333">_xlfn.IFS(J333&lt;30000,"Low Value",J333&lt;=100000,"Medium Value",J333&gt;100000,"High Value")</f>
        <v>Low Value</v>
      </c>
      <c r="L333" s="4" t="s">
        <v>17</v>
      </c>
      <c r="M333" s="4" t="s">
        <v>24</v>
      </c>
      <c r="N333" s="4" t="str">
        <f t="shared" si="15"/>
        <v>April</v>
      </c>
      <c r="O333" s="4" t="str">
        <f t="shared" si="16"/>
        <v>Q2</v>
      </c>
      <c r="P333" s="4">
        <f t="shared" si="17"/>
        <v>2025</v>
      </c>
    </row>
    <row r="334" spans="1:16" x14ac:dyDescent="0.25">
      <c r="A334" s="4">
        <v>333</v>
      </c>
      <c r="B334" s="5">
        <v>45875</v>
      </c>
      <c r="C334" s="4" t="s">
        <v>12</v>
      </c>
      <c r="D334" s="4" t="s">
        <v>44</v>
      </c>
      <c r="E334" s="4" t="s">
        <v>375</v>
      </c>
      <c r="F334" s="4" t="s">
        <v>15</v>
      </c>
      <c r="G334" s="4" t="s">
        <v>16</v>
      </c>
      <c r="H334" s="4">
        <v>3</v>
      </c>
      <c r="I334" s="6">
        <v>55000</v>
      </c>
      <c r="J334" s="6">
        <v>165000</v>
      </c>
      <c r="K334" t="str" cm="1">
        <f t="array" ref="K334">_xlfn.IFS(J334&lt;30000,"Low Value",J334&lt;=100000,"Medium Value",J334&gt;100000,"High Value")</f>
        <v>High Value</v>
      </c>
      <c r="L334" s="4" t="s">
        <v>17</v>
      </c>
      <c r="M334" s="4" t="s">
        <v>24</v>
      </c>
      <c r="N334" s="4" t="str">
        <f t="shared" si="15"/>
        <v>August</v>
      </c>
      <c r="O334" s="4" t="str">
        <f t="shared" si="16"/>
        <v>Q3</v>
      </c>
      <c r="P334" s="4">
        <f t="shared" si="17"/>
        <v>2025</v>
      </c>
    </row>
    <row r="335" spans="1:16" x14ac:dyDescent="0.25">
      <c r="A335" s="4">
        <v>334</v>
      </c>
      <c r="B335" s="5">
        <v>45798</v>
      </c>
      <c r="C335" s="4" t="s">
        <v>12</v>
      </c>
      <c r="D335" s="4" t="s">
        <v>41</v>
      </c>
      <c r="E335" s="4" t="s">
        <v>376</v>
      </c>
      <c r="F335" s="4" t="s">
        <v>32</v>
      </c>
      <c r="G335" s="4" t="s">
        <v>29</v>
      </c>
      <c r="H335" s="4">
        <v>9</v>
      </c>
      <c r="I335" s="6">
        <v>7000</v>
      </c>
      <c r="J335" s="6">
        <v>63000</v>
      </c>
      <c r="K335" t="str" cm="1">
        <f t="array" ref="K335">_xlfn.IFS(J335&lt;30000,"Low Value",J335&lt;=100000,"Medium Value",J335&gt;100000,"High Value")</f>
        <v>Medium Value</v>
      </c>
      <c r="L335" s="4" t="s">
        <v>17</v>
      </c>
      <c r="M335" s="4" t="s">
        <v>24</v>
      </c>
      <c r="N335" s="4" t="str">
        <f t="shared" si="15"/>
        <v>May</v>
      </c>
      <c r="O335" s="4" t="str">
        <f t="shared" si="16"/>
        <v>Q2</v>
      </c>
      <c r="P335" s="4">
        <f t="shared" si="17"/>
        <v>2025</v>
      </c>
    </row>
    <row r="336" spans="1:16" x14ac:dyDescent="0.25">
      <c r="A336" s="4">
        <v>335</v>
      </c>
      <c r="B336" s="5">
        <v>45749</v>
      </c>
      <c r="C336" s="4" t="s">
        <v>25</v>
      </c>
      <c r="D336" s="4" t="s">
        <v>97</v>
      </c>
      <c r="E336" s="4" t="s">
        <v>377</v>
      </c>
      <c r="F336" s="4" t="s">
        <v>32</v>
      </c>
      <c r="G336" s="4" t="s">
        <v>29</v>
      </c>
      <c r="H336" s="4">
        <v>8</v>
      </c>
      <c r="I336" s="6">
        <v>7000</v>
      </c>
      <c r="J336" s="6">
        <v>56000</v>
      </c>
      <c r="K336" t="str" cm="1">
        <f t="array" ref="K336">_xlfn.IFS(J336&lt;30000,"Low Value",J336&lt;=100000,"Medium Value",J336&gt;100000,"High Value")</f>
        <v>Medium Value</v>
      </c>
      <c r="L336" s="4" t="s">
        <v>43</v>
      </c>
      <c r="M336" s="4" t="s">
        <v>24</v>
      </c>
      <c r="N336" s="4" t="str">
        <f t="shared" si="15"/>
        <v>April</v>
      </c>
      <c r="O336" s="4" t="str">
        <f t="shared" si="16"/>
        <v>Q2</v>
      </c>
      <c r="P336" s="4">
        <f t="shared" si="17"/>
        <v>2025</v>
      </c>
    </row>
    <row r="337" spans="1:16" x14ac:dyDescent="0.25">
      <c r="A337" s="4">
        <v>336</v>
      </c>
      <c r="B337" s="5">
        <v>45873</v>
      </c>
      <c r="C337" s="4" t="s">
        <v>25</v>
      </c>
      <c r="D337" s="4" t="s">
        <v>49</v>
      </c>
      <c r="E337" s="4" t="s">
        <v>378</v>
      </c>
      <c r="F337" s="4" t="s">
        <v>32</v>
      </c>
      <c r="G337" s="4" t="s">
        <v>29</v>
      </c>
      <c r="H337" s="4">
        <v>10</v>
      </c>
      <c r="I337" s="6">
        <v>7000</v>
      </c>
      <c r="J337" s="6">
        <v>70000</v>
      </c>
      <c r="K337" t="str" cm="1">
        <f t="array" ref="K337">_xlfn.IFS(J337&lt;30000,"Low Value",J337&lt;=100000,"Medium Value",J337&gt;100000,"High Value")</f>
        <v>Medium Value</v>
      </c>
      <c r="L337" s="4" t="s">
        <v>33</v>
      </c>
      <c r="M337" s="4" t="s">
        <v>24</v>
      </c>
      <c r="N337" s="4" t="str">
        <f t="shared" si="15"/>
        <v>August</v>
      </c>
      <c r="O337" s="4" t="str">
        <f t="shared" si="16"/>
        <v>Q3</v>
      </c>
      <c r="P337" s="4">
        <f t="shared" si="17"/>
        <v>2025</v>
      </c>
    </row>
    <row r="338" spans="1:16" x14ac:dyDescent="0.25">
      <c r="A338" s="4">
        <v>337</v>
      </c>
      <c r="B338" s="5">
        <v>45734</v>
      </c>
      <c r="C338" s="4" t="s">
        <v>48</v>
      </c>
      <c r="D338" s="4" t="s">
        <v>52</v>
      </c>
      <c r="E338" s="4" t="s">
        <v>379</v>
      </c>
      <c r="F338" s="4" t="s">
        <v>32</v>
      </c>
      <c r="G338" s="4" t="s">
        <v>29</v>
      </c>
      <c r="H338" s="4">
        <v>2</v>
      </c>
      <c r="I338" s="6">
        <v>7000</v>
      </c>
      <c r="J338" s="6">
        <v>14000</v>
      </c>
      <c r="K338" t="str" cm="1">
        <f t="array" ref="K338">_xlfn.IFS(J338&lt;30000,"Low Value",J338&lt;=100000,"Medium Value",J338&gt;100000,"High Value")</f>
        <v>Low Value</v>
      </c>
      <c r="L338" s="4" t="s">
        <v>33</v>
      </c>
      <c r="M338" s="4" t="s">
        <v>24</v>
      </c>
      <c r="N338" s="4" t="str">
        <f t="shared" si="15"/>
        <v>March</v>
      </c>
      <c r="O338" s="4" t="str">
        <f t="shared" si="16"/>
        <v>Q1</v>
      </c>
      <c r="P338" s="4">
        <f t="shared" si="17"/>
        <v>2025</v>
      </c>
    </row>
    <row r="339" spans="1:16" x14ac:dyDescent="0.25">
      <c r="A339" s="4">
        <v>338</v>
      </c>
      <c r="B339" s="5">
        <v>46012</v>
      </c>
      <c r="C339" s="4" t="s">
        <v>48</v>
      </c>
      <c r="D339" s="4" t="s">
        <v>59</v>
      </c>
      <c r="E339" s="4" t="s">
        <v>380</v>
      </c>
      <c r="F339" s="4" t="s">
        <v>47</v>
      </c>
      <c r="G339" s="4" t="s">
        <v>16</v>
      </c>
      <c r="H339" s="4">
        <v>10</v>
      </c>
      <c r="I339" s="6">
        <v>9000</v>
      </c>
      <c r="J339" s="6">
        <v>90000</v>
      </c>
      <c r="K339" t="str" cm="1">
        <f t="array" ref="K339">_xlfn.IFS(J339&lt;30000,"Low Value",J339&lt;=100000,"Medium Value",J339&gt;100000,"High Value")</f>
        <v>Medium Value</v>
      </c>
      <c r="L339" s="4" t="s">
        <v>33</v>
      </c>
      <c r="M339" s="4" t="s">
        <v>18</v>
      </c>
      <c r="N339" s="4" t="str">
        <f t="shared" si="15"/>
        <v>December</v>
      </c>
      <c r="O339" s="4" t="str">
        <f t="shared" si="16"/>
        <v>Q4</v>
      </c>
      <c r="P339" s="4">
        <f t="shared" si="17"/>
        <v>2025</v>
      </c>
    </row>
    <row r="340" spans="1:16" x14ac:dyDescent="0.25">
      <c r="A340" s="4">
        <v>339</v>
      </c>
      <c r="B340" s="5">
        <v>45970</v>
      </c>
      <c r="C340" s="4" t="s">
        <v>12</v>
      </c>
      <c r="D340" s="4" t="s">
        <v>73</v>
      </c>
      <c r="E340" s="4" t="s">
        <v>381</v>
      </c>
      <c r="F340" s="4" t="s">
        <v>15</v>
      </c>
      <c r="G340" s="4" t="s">
        <v>16</v>
      </c>
      <c r="H340" s="4">
        <v>6</v>
      </c>
      <c r="I340" s="6">
        <v>55000</v>
      </c>
      <c r="J340" s="6">
        <v>330000</v>
      </c>
      <c r="K340" t="str" cm="1">
        <f t="array" ref="K340">_xlfn.IFS(J340&lt;30000,"Low Value",J340&lt;=100000,"Medium Value",J340&gt;100000,"High Value")</f>
        <v>High Value</v>
      </c>
      <c r="L340" s="4" t="s">
        <v>33</v>
      </c>
      <c r="M340" s="4" t="s">
        <v>24</v>
      </c>
      <c r="N340" s="4" t="str">
        <f t="shared" si="15"/>
        <v>November</v>
      </c>
      <c r="O340" s="4" t="str">
        <f t="shared" si="16"/>
        <v>Q4</v>
      </c>
      <c r="P340" s="4">
        <f t="shared" si="17"/>
        <v>2025</v>
      </c>
    </row>
    <row r="341" spans="1:16" x14ac:dyDescent="0.25">
      <c r="A341" s="4">
        <v>340</v>
      </c>
      <c r="B341" s="5">
        <v>45825</v>
      </c>
      <c r="C341" s="4" t="s">
        <v>12</v>
      </c>
      <c r="D341" s="4" t="s">
        <v>49</v>
      </c>
      <c r="E341" s="4" t="s">
        <v>382</v>
      </c>
      <c r="F341" s="4" t="s">
        <v>40</v>
      </c>
      <c r="G341" s="4" t="s">
        <v>16</v>
      </c>
      <c r="H341" s="4">
        <v>1</v>
      </c>
      <c r="I341" s="6">
        <v>500</v>
      </c>
      <c r="J341" s="6">
        <v>500</v>
      </c>
      <c r="K341" t="str" cm="1">
        <f t="array" ref="K341">_xlfn.IFS(J341&lt;30000,"Low Value",J341&lt;=100000,"Medium Value",J341&gt;100000,"High Value")</f>
        <v>Low Value</v>
      </c>
      <c r="L341" s="4" t="s">
        <v>33</v>
      </c>
      <c r="M341" s="4" t="s">
        <v>24</v>
      </c>
      <c r="N341" s="4" t="str">
        <f t="shared" si="15"/>
        <v>June</v>
      </c>
      <c r="O341" s="4" t="str">
        <f t="shared" si="16"/>
        <v>Q2</v>
      </c>
      <c r="P341" s="4">
        <f t="shared" si="17"/>
        <v>2025</v>
      </c>
    </row>
    <row r="342" spans="1:16" x14ac:dyDescent="0.25">
      <c r="A342" s="4">
        <v>341</v>
      </c>
      <c r="B342" s="5">
        <v>45784</v>
      </c>
      <c r="C342" s="4" t="s">
        <v>25</v>
      </c>
      <c r="D342" s="4" t="s">
        <v>52</v>
      </c>
      <c r="E342" s="4" t="s">
        <v>383</v>
      </c>
      <c r="F342" s="4" t="s">
        <v>32</v>
      </c>
      <c r="G342" s="4" t="s">
        <v>29</v>
      </c>
      <c r="H342" s="4">
        <v>5</v>
      </c>
      <c r="I342" s="6">
        <v>7000</v>
      </c>
      <c r="J342" s="6">
        <v>35000</v>
      </c>
      <c r="K342" t="str" cm="1">
        <f t="array" ref="K342">_xlfn.IFS(J342&lt;30000,"Low Value",J342&lt;=100000,"Medium Value",J342&gt;100000,"High Value")</f>
        <v>Medium Value</v>
      </c>
      <c r="L342" s="4" t="s">
        <v>43</v>
      </c>
      <c r="M342" s="4" t="s">
        <v>54</v>
      </c>
      <c r="N342" s="4" t="str">
        <f t="shared" si="15"/>
        <v>May</v>
      </c>
      <c r="O342" s="4" t="str">
        <f t="shared" si="16"/>
        <v>Q2</v>
      </c>
      <c r="P342" s="4">
        <f t="shared" si="17"/>
        <v>2025</v>
      </c>
    </row>
    <row r="343" spans="1:16" x14ac:dyDescent="0.25">
      <c r="A343" s="4">
        <v>342</v>
      </c>
      <c r="B343" s="5">
        <v>45983</v>
      </c>
      <c r="C343" s="4" t="s">
        <v>25</v>
      </c>
      <c r="D343" s="4" t="s">
        <v>44</v>
      </c>
      <c r="E343" s="4" t="s">
        <v>384</v>
      </c>
      <c r="F343" s="4" t="s">
        <v>22</v>
      </c>
      <c r="G343" s="4" t="s">
        <v>16</v>
      </c>
      <c r="H343" s="4">
        <v>7</v>
      </c>
      <c r="I343" s="6">
        <v>1200</v>
      </c>
      <c r="J343" s="6">
        <v>8400</v>
      </c>
      <c r="K343" t="str" cm="1">
        <f t="array" ref="K343">_xlfn.IFS(J343&lt;30000,"Low Value",J343&lt;=100000,"Medium Value",J343&gt;100000,"High Value")</f>
        <v>Low Value</v>
      </c>
      <c r="L343" s="4" t="s">
        <v>43</v>
      </c>
      <c r="M343" s="4" t="s">
        <v>54</v>
      </c>
      <c r="N343" s="4" t="str">
        <f t="shared" si="15"/>
        <v>November</v>
      </c>
      <c r="O343" s="4" t="str">
        <f t="shared" si="16"/>
        <v>Q4</v>
      </c>
      <c r="P343" s="4">
        <f t="shared" si="17"/>
        <v>2025</v>
      </c>
    </row>
    <row r="344" spans="1:16" x14ac:dyDescent="0.25">
      <c r="A344" s="4">
        <v>343</v>
      </c>
      <c r="B344" s="5">
        <v>45792</v>
      </c>
      <c r="C344" s="4" t="s">
        <v>12</v>
      </c>
      <c r="D344" s="4" t="s">
        <v>66</v>
      </c>
      <c r="E344" s="4" t="s">
        <v>385</v>
      </c>
      <c r="F344" s="4" t="s">
        <v>47</v>
      </c>
      <c r="G344" s="4" t="s">
        <v>16</v>
      </c>
      <c r="H344" s="4">
        <v>9</v>
      </c>
      <c r="I344" s="6">
        <v>9000</v>
      </c>
      <c r="J344" s="6">
        <v>81000</v>
      </c>
      <c r="K344" t="str" cm="1">
        <f t="array" ref="K344">_xlfn.IFS(J344&lt;30000,"Low Value",J344&lt;=100000,"Medium Value",J344&gt;100000,"High Value")</f>
        <v>Medium Value</v>
      </c>
      <c r="L344" s="4" t="s">
        <v>17</v>
      </c>
      <c r="M344" s="4" t="s">
        <v>54</v>
      </c>
      <c r="N344" s="4" t="str">
        <f t="shared" si="15"/>
        <v>May</v>
      </c>
      <c r="O344" s="4" t="str">
        <f t="shared" si="16"/>
        <v>Q2</v>
      </c>
      <c r="P344" s="4">
        <f t="shared" si="17"/>
        <v>2025</v>
      </c>
    </row>
    <row r="345" spans="1:16" x14ac:dyDescent="0.25">
      <c r="A345" s="4">
        <v>344</v>
      </c>
      <c r="B345" s="5">
        <v>45660</v>
      </c>
      <c r="C345" s="4" t="s">
        <v>19</v>
      </c>
      <c r="D345" s="4" t="s">
        <v>92</v>
      </c>
      <c r="E345" s="4" t="s">
        <v>233</v>
      </c>
      <c r="F345" s="4" t="s">
        <v>40</v>
      </c>
      <c r="G345" s="4" t="s">
        <v>16</v>
      </c>
      <c r="H345" s="4">
        <v>7</v>
      </c>
      <c r="I345" s="6">
        <v>500</v>
      </c>
      <c r="J345" s="6">
        <v>3500</v>
      </c>
      <c r="K345" t="str" cm="1">
        <f t="array" ref="K345">_xlfn.IFS(J345&lt;30000,"Low Value",J345&lt;=100000,"Medium Value",J345&gt;100000,"High Value")</f>
        <v>Low Value</v>
      </c>
      <c r="L345" s="4" t="s">
        <v>33</v>
      </c>
      <c r="M345" s="4" t="s">
        <v>54</v>
      </c>
      <c r="N345" s="4" t="str">
        <f t="shared" si="15"/>
        <v>January</v>
      </c>
      <c r="O345" s="4" t="str">
        <f t="shared" si="16"/>
        <v>Q1</v>
      </c>
      <c r="P345" s="4">
        <f t="shared" si="17"/>
        <v>2025</v>
      </c>
    </row>
    <row r="346" spans="1:16" x14ac:dyDescent="0.25">
      <c r="A346" s="4">
        <v>345</v>
      </c>
      <c r="B346" s="5">
        <v>45800</v>
      </c>
      <c r="C346" s="4" t="s">
        <v>48</v>
      </c>
      <c r="D346" s="4" t="s">
        <v>59</v>
      </c>
      <c r="E346" s="4" t="s">
        <v>386</v>
      </c>
      <c r="F346" s="4" t="s">
        <v>28</v>
      </c>
      <c r="G346" s="4" t="s">
        <v>29</v>
      </c>
      <c r="H346" s="4">
        <v>8</v>
      </c>
      <c r="I346" s="6">
        <v>3500</v>
      </c>
      <c r="J346" s="6">
        <v>28000</v>
      </c>
      <c r="K346" t="str" cm="1">
        <f t="array" ref="K346">_xlfn.IFS(J346&lt;30000,"Low Value",J346&lt;=100000,"Medium Value",J346&gt;100000,"High Value")</f>
        <v>Low Value</v>
      </c>
      <c r="L346" s="4" t="s">
        <v>43</v>
      </c>
      <c r="M346" s="4" t="s">
        <v>24</v>
      </c>
      <c r="N346" s="4" t="str">
        <f t="shared" si="15"/>
        <v>May</v>
      </c>
      <c r="O346" s="4" t="str">
        <f t="shared" si="16"/>
        <v>Q2</v>
      </c>
      <c r="P346" s="4">
        <f t="shared" si="17"/>
        <v>2025</v>
      </c>
    </row>
    <row r="347" spans="1:16" x14ac:dyDescent="0.25">
      <c r="A347" s="4">
        <v>346</v>
      </c>
      <c r="B347" s="5">
        <v>45970</v>
      </c>
      <c r="C347" s="4" t="s">
        <v>34</v>
      </c>
      <c r="D347" s="4" t="s">
        <v>41</v>
      </c>
      <c r="E347" s="4" t="s">
        <v>387</v>
      </c>
      <c r="F347" s="4" t="s">
        <v>47</v>
      </c>
      <c r="G347" s="4" t="s">
        <v>16</v>
      </c>
      <c r="H347" s="4">
        <v>8</v>
      </c>
      <c r="I347" s="6">
        <v>9000</v>
      </c>
      <c r="J347" s="6">
        <v>72000</v>
      </c>
      <c r="K347" t="str" cm="1">
        <f t="array" ref="K347">_xlfn.IFS(J347&lt;30000,"Low Value",J347&lt;=100000,"Medium Value",J347&gt;100000,"High Value")</f>
        <v>Medium Value</v>
      </c>
      <c r="L347" s="4" t="s">
        <v>43</v>
      </c>
      <c r="M347" s="4" t="s">
        <v>24</v>
      </c>
      <c r="N347" s="4" t="str">
        <f t="shared" si="15"/>
        <v>November</v>
      </c>
      <c r="O347" s="4" t="str">
        <f t="shared" si="16"/>
        <v>Q4</v>
      </c>
      <c r="P347" s="4">
        <f t="shared" si="17"/>
        <v>2025</v>
      </c>
    </row>
    <row r="348" spans="1:16" x14ac:dyDescent="0.25">
      <c r="A348" s="4">
        <v>347</v>
      </c>
      <c r="B348" s="5">
        <v>45848</v>
      </c>
      <c r="C348" s="4" t="s">
        <v>25</v>
      </c>
      <c r="D348" s="4" t="s">
        <v>38</v>
      </c>
      <c r="E348" s="4" t="s">
        <v>388</v>
      </c>
      <c r="F348" s="4" t="s">
        <v>28</v>
      </c>
      <c r="G348" s="4" t="s">
        <v>29</v>
      </c>
      <c r="H348" s="4">
        <v>9</v>
      </c>
      <c r="I348" s="6">
        <v>3500</v>
      </c>
      <c r="J348" s="6">
        <v>31500</v>
      </c>
      <c r="K348" t="str" cm="1">
        <f t="array" ref="K348">_xlfn.IFS(J348&lt;30000,"Low Value",J348&lt;=100000,"Medium Value",J348&gt;100000,"High Value")</f>
        <v>Medium Value</v>
      </c>
      <c r="L348" s="4" t="s">
        <v>23</v>
      </c>
      <c r="M348" s="4" t="s">
        <v>24</v>
      </c>
      <c r="N348" s="4" t="str">
        <f t="shared" si="15"/>
        <v>July</v>
      </c>
      <c r="O348" s="4" t="str">
        <f t="shared" si="16"/>
        <v>Q3</v>
      </c>
      <c r="P348" s="4">
        <f t="shared" si="17"/>
        <v>2025</v>
      </c>
    </row>
    <row r="349" spans="1:16" x14ac:dyDescent="0.25">
      <c r="A349" s="4">
        <v>348</v>
      </c>
      <c r="B349" s="5">
        <v>46017</v>
      </c>
      <c r="C349" s="4" t="s">
        <v>25</v>
      </c>
      <c r="D349" s="4" t="s">
        <v>64</v>
      </c>
      <c r="E349" s="4" t="s">
        <v>389</v>
      </c>
      <c r="F349" s="4" t="s">
        <v>22</v>
      </c>
      <c r="G349" s="4" t="s">
        <v>16</v>
      </c>
      <c r="H349" s="4">
        <v>3</v>
      </c>
      <c r="I349" s="6">
        <v>1200</v>
      </c>
      <c r="J349" s="6">
        <v>3600</v>
      </c>
      <c r="K349" t="str" cm="1">
        <f t="array" ref="K349">_xlfn.IFS(J349&lt;30000,"Low Value",J349&lt;=100000,"Medium Value",J349&gt;100000,"High Value")</f>
        <v>Low Value</v>
      </c>
      <c r="L349" s="4" t="s">
        <v>33</v>
      </c>
      <c r="M349" s="4" t="s">
        <v>54</v>
      </c>
      <c r="N349" s="4" t="str">
        <f t="shared" si="15"/>
        <v>December</v>
      </c>
      <c r="O349" s="4" t="str">
        <f t="shared" si="16"/>
        <v>Q4</v>
      </c>
      <c r="P349" s="4">
        <f t="shared" si="17"/>
        <v>2025</v>
      </c>
    </row>
    <row r="350" spans="1:16" x14ac:dyDescent="0.25">
      <c r="A350" s="4">
        <v>349</v>
      </c>
      <c r="B350" s="5">
        <v>46022</v>
      </c>
      <c r="C350" s="4" t="s">
        <v>48</v>
      </c>
      <c r="D350" s="4" t="s">
        <v>26</v>
      </c>
      <c r="E350" s="4" t="s">
        <v>390</v>
      </c>
      <c r="F350" s="4" t="s">
        <v>47</v>
      </c>
      <c r="G350" s="4" t="s">
        <v>16</v>
      </c>
      <c r="H350" s="4">
        <v>10</v>
      </c>
      <c r="I350" s="6">
        <v>9000</v>
      </c>
      <c r="J350" s="6">
        <v>90000</v>
      </c>
      <c r="K350" t="str" cm="1">
        <f t="array" ref="K350">_xlfn.IFS(J350&lt;30000,"Low Value",J350&lt;=100000,"Medium Value",J350&gt;100000,"High Value")</f>
        <v>Medium Value</v>
      </c>
      <c r="L350" s="4" t="s">
        <v>43</v>
      </c>
      <c r="M350" s="4" t="s">
        <v>24</v>
      </c>
      <c r="N350" s="4" t="str">
        <f t="shared" si="15"/>
        <v>December</v>
      </c>
      <c r="O350" s="4" t="str">
        <f t="shared" si="16"/>
        <v>Q4</v>
      </c>
      <c r="P350" s="4">
        <f t="shared" si="17"/>
        <v>2025</v>
      </c>
    </row>
    <row r="351" spans="1:16" x14ac:dyDescent="0.25">
      <c r="A351" s="4">
        <v>350</v>
      </c>
      <c r="B351" s="5">
        <v>45902</v>
      </c>
      <c r="C351" s="4" t="s">
        <v>12</v>
      </c>
      <c r="D351" s="4" t="s">
        <v>85</v>
      </c>
      <c r="E351" s="4" t="s">
        <v>344</v>
      </c>
      <c r="F351" s="4" t="s">
        <v>32</v>
      </c>
      <c r="G351" s="4" t="s">
        <v>29</v>
      </c>
      <c r="H351" s="4">
        <v>10</v>
      </c>
      <c r="I351" s="6">
        <v>7000</v>
      </c>
      <c r="J351" s="6">
        <v>70000</v>
      </c>
      <c r="K351" t="str" cm="1">
        <f t="array" ref="K351">_xlfn.IFS(J351&lt;30000,"Low Value",J351&lt;=100000,"Medium Value",J351&gt;100000,"High Value")</f>
        <v>Medium Value</v>
      </c>
      <c r="L351" s="4" t="s">
        <v>43</v>
      </c>
      <c r="M351" s="4" t="s">
        <v>54</v>
      </c>
      <c r="N351" s="4" t="str">
        <f t="shared" si="15"/>
        <v>September</v>
      </c>
      <c r="O351" s="4" t="str">
        <f t="shared" si="16"/>
        <v>Q3</v>
      </c>
      <c r="P351" s="4">
        <f t="shared" si="17"/>
        <v>2025</v>
      </c>
    </row>
    <row r="352" spans="1:16" x14ac:dyDescent="0.25">
      <c r="A352" s="4">
        <v>351</v>
      </c>
      <c r="B352" s="5">
        <v>45952</v>
      </c>
      <c r="C352" s="4" t="s">
        <v>19</v>
      </c>
      <c r="D352" s="4" t="s">
        <v>55</v>
      </c>
      <c r="E352" s="4" t="s">
        <v>391</v>
      </c>
      <c r="F352" s="4" t="s">
        <v>28</v>
      </c>
      <c r="G352" s="4" t="s">
        <v>29</v>
      </c>
      <c r="H352" s="4">
        <v>2</v>
      </c>
      <c r="I352" s="6">
        <v>3500</v>
      </c>
      <c r="J352" s="6">
        <v>7000</v>
      </c>
      <c r="K352" t="str" cm="1">
        <f t="array" ref="K352">_xlfn.IFS(J352&lt;30000,"Low Value",J352&lt;=100000,"Medium Value",J352&gt;100000,"High Value")</f>
        <v>Low Value</v>
      </c>
      <c r="L352" s="4" t="s">
        <v>17</v>
      </c>
      <c r="M352" s="4" t="s">
        <v>24</v>
      </c>
      <c r="N352" s="4" t="str">
        <f t="shared" si="15"/>
        <v>October</v>
      </c>
      <c r="O352" s="4" t="str">
        <f t="shared" si="16"/>
        <v>Q4</v>
      </c>
      <c r="P352" s="4">
        <f t="shared" si="17"/>
        <v>2025</v>
      </c>
    </row>
    <row r="353" spans="1:16" x14ac:dyDescent="0.25">
      <c r="A353" s="4">
        <v>352</v>
      </c>
      <c r="B353" s="5">
        <v>45955</v>
      </c>
      <c r="C353" s="4" t="s">
        <v>25</v>
      </c>
      <c r="D353" s="4" t="s">
        <v>71</v>
      </c>
      <c r="E353" s="4" t="s">
        <v>392</v>
      </c>
      <c r="F353" s="4" t="s">
        <v>40</v>
      </c>
      <c r="G353" s="4" t="s">
        <v>16</v>
      </c>
      <c r="H353" s="4">
        <v>3</v>
      </c>
      <c r="I353" s="6">
        <v>500</v>
      </c>
      <c r="J353" s="6">
        <v>1500</v>
      </c>
      <c r="K353" t="str" cm="1">
        <f t="array" ref="K353">_xlfn.IFS(J353&lt;30000,"Low Value",J353&lt;=100000,"Medium Value",J353&gt;100000,"High Value")</f>
        <v>Low Value</v>
      </c>
      <c r="L353" s="4" t="s">
        <v>33</v>
      </c>
      <c r="M353" s="4" t="s">
        <v>24</v>
      </c>
      <c r="N353" s="4" t="str">
        <f t="shared" si="15"/>
        <v>October</v>
      </c>
      <c r="O353" s="4" t="str">
        <f t="shared" si="16"/>
        <v>Q4</v>
      </c>
      <c r="P353" s="4">
        <f t="shared" si="17"/>
        <v>2025</v>
      </c>
    </row>
    <row r="354" spans="1:16" x14ac:dyDescent="0.25">
      <c r="A354" s="4">
        <v>353</v>
      </c>
      <c r="B354" s="5">
        <v>46017</v>
      </c>
      <c r="C354" s="4" t="s">
        <v>48</v>
      </c>
      <c r="D354" s="4" t="s">
        <v>66</v>
      </c>
      <c r="E354" s="4" t="s">
        <v>393</v>
      </c>
      <c r="F354" s="4" t="s">
        <v>47</v>
      </c>
      <c r="G354" s="4" t="s">
        <v>16</v>
      </c>
      <c r="H354" s="4">
        <v>2</v>
      </c>
      <c r="I354" s="6">
        <v>9000</v>
      </c>
      <c r="J354" s="6">
        <v>18000</v>
      </c>
      <c r="K354" t="str" cm="1">
        <f t="array" ref="K354">_xlfn.IFS(J354&lt;30000,"Low Value",J354&lt;=100000,"Medium Value",J354&gt;100000,"High Value")</f>
        <v>Low Value</v>
      </c>
      <c r="L354" s="4" t="s">
        <v>17</v>
      </c>
      <c r="M354" s="4" t="s">
        <v>54</v>
      </c>
      <c r="N354" s="4" t="str">
        <f t="shared" si="15"/>
        <v>December</v>
      </c>
      <c r="O354" s="4" t="str">
        <f t="shared" si="16"/>
        <v>Q4</v>
      </c>
      <c r="P354" s="4">
        <f t="shared" si="17"/>
        <v>2025</v>
      </c>
    </row>
    <row r="355" spans="1:16" x14ac:dyDescent="0.25">
      <c r="A355" s="4">
        <v>354</v>
      </c>
      <c r="B355" s="5">
        <v>45823</v>
      </c>
      <c r="C355" s="4" t="s">
        <v>34</v>
      </c>
      <c r="D355" s="4" t="s">
        <v>73</v>
      </c>
      <c r="E355" s="4" t="s">
        <v>394</v>
      </c>
      <c r="F355" s="4" t="s">
        <v>40</v>
      </c>
      <c r="G355" s="4" t="s">
        <v>16</v>
      </c>
      <c r="H355" s="4">
        <v>1</v>
      </c>
      <c r="I355" s="6">
        <v>500</v>
      </c>
      <c r="J355" s="6">
        <v>500</v>
      </c>
      <c r="K355" t="str" cm="1">
        <f t="array" ref="K355">_xlfn.IFS(J355&lt;30000,"Low Value",J355&lt;=100000,"Medium Value",J355&gt;100000,"High Value")</f>
        <v>Low Value</v>
      </c>
      <c r="L355" s="4" t="s">
        <v>17</v>
      </c>
      <c r="M355" s="4" t="s">
        <v>24</v>
      </c>
      <c r="N355" s="4" t="str">
        <f t="shared" si="15"/>
        <v>June</v>
      </c>
      <c r="O355" s="4" t="str">
        <f t="shared" si="16"/>
        <v>Q2</v>
      </c>
      <c r="P355" s="4">
        <f t="shared" si="17"/>
        <v>2025</v>
      </c>
    </row>
    <row r="356" spans="1:16" x14ac:dyDescent="0.25">
      <c r="A356" s="4">
        <v>355</v>
      </c>
      <c r="B356" s="5">
        <v>45889</v>
      </c>
      <c r="C356" s="4" t="s">
        <v>19</v>
      </c>
      <c r="D356" s="4" t="s">
        <v>26</v>
      </c>
      <c r="E356" s="4" t="s">
        <v>395</v>
      </c>
      <c r="F356" s="4" t="s">
        <v>22</v>
      </c>
      <c r="G356" s="4" t="s">
        <v>16</v>
      </c>
      <c r="H356" s="4">
        <v>10</v>
      </c>
      <c r="I356" s="6">
        <v>1200</v>
      </c>
      <c r="J356" s="6">
        <v>12000</v>
      </c>
      <c r="K356" t="str" cm="1">
        <f t="array" ref="K356">_xlfn.IFS(J356&lt;30000,"Low Value",J356&lt;=100000,"Medium Value",J356&gt;100000,"High Value")</f>
        <v>Low Value</v>
      </c>
      <c r="L356" s="4" t="s">
        <v>17</v>
      </c>
      <c r="M356" s="4" t="s">
        <v>24</v>
      </c>
      <c r="N356" s="4" t="str">
        <f t="shared" si="15"/>
        <v>August</v>
      </c>
      <c r="O356" s="4" t="str">
        <f t="shared" si="16"/>
        <v>Q3</v>
      </c>
      <c r="P356" s="4">
        <f t="shared" si="17"/>
        <v>2025</v>
      </c>
    </row>
    <row r="357" spans="1:16" x14ac:dyDescent="0.25">
      <c r="A357" s="4">
        <v>356</v>
      </c>
      <c r="B357" s="5">
        <v>45897</v>
      </c>
      <c r="C357" s="4" t="s">
        <v>48</v>
      </c>
      <c r="D357" s="4" t="s">
        <v>59</v>
      </c>
      <c r="E357" s="4" t="s">
        <v>396</v>
      </c>
      <c r="F357" s="4" t="s">
        <v>40</v>
      </c>
      <c r="G357" s="4" t="s">
        <v>16</v>
      </c>
      <c r="H357" s="4">
        <v>8</v>
      </c>
      <c r="I357" s="6">
        <v>500</v>
      </c>
      <c r="J357" s="6">
        <v>4000</v>
      </c>
      <c r="K357" t="str" cm="1">
        <f t="array" ref="K357">_xlfn.IFS(J357&lt;30000,"Low Value",J357&lt;=100000,"Medium Value",J357&gt;100000,"High Value")</f>
        <v>Low Value</v>
      </c>
      <c r="L357" s="4" t="s">
        <v>33</v>
      </c>
      <c r="M357" s="4" t="s">
        <v>24</v>
      </c>
      <c r="N357" s="4" t="str">
        <f t="shared" si="15"/>
        <v>August</v>
      </c>
      <c r="O357" s="4" t="str">
        <f t="shared" si="16"/>
        <v>Q3</v>
      </c>
      <c r="P357" s="4">
        <f t="shared" si="17"/>
        <v>2025</v>
      </c>
    </row>
    <row r="358" spans="1:16" x14ac:dyDescent="0.25">
      <c r="A358" s="4">
        <v>357</v>
      </c>
      <c r="B358" s="5">
        <v>45966</v>
      </c>
      <c r="C358" s="4" t="s">
        <v>25</v>
      </c>
      <c r="D358" s="4" t="s">
        <v>59</v>
      </c>
      <c r="E358" s="4" t="s">
        <v>397</v>
      </c>
      <c r="F358" s="4" t="s">
        <v>15</v>
      </c>
      <c r="G358" s="4" t="s">
        <v>16</v>
      </c>
      <c r="H358" s="4">
        <v>10</v>
      </c>
      <c r="I358" s="6">
        <v>55000</v>
      </c>
      <c r="J358" s="6">
        <v>550000</v>
      </c>
      <c r="K358" t="str" cm="1">
        <f t="array" ref="K358">_xlfn.IFS(J358&lt;30000,"Low Value",J358&lt;=100000,"Medium Value",J358&gt;100000,"High Value")</f>
        <v>High Value</v>
      </c>
      <c r="L358" s="4" t="s">
        <v>17</v>
      </c>
      <c r="M358" s="4" t="s">
        <v>24</v>
      </c>
      <c r="N358" s="4" t="str">
        <f t="shared" si="15"/>
        <v>November</v>
      </c>
      <c r="O358" s="4" t="str">
        <f t="shared" si="16"/>
        <v>Q4</v>
      </c>
      <c r="P358" s="4">
        <f t="shared" si="17"/>
        <v>2025</v>
      </c>
    </row>
    <row r="359" spans="1:16" x14ac:dyDescent="0.25">
      <c r="A359" s="4">
        <v>358</v>
      </c>
      <c r="B359" s="5">
        <v>45923</v>
      </c>
      <c r="C359" s="4" t="s">
        <v>25</v>
      </c>
      <c r="D359" s="4" t="s">
        <v>71</v>
      </c>
      <c r="E359" s="4" t="s">
        <v>398</v>
      </c>
      <c r="F359" s="4" t="s">
        <v>28</v>
      </c>
      <c r="G359" s="4" t="s">
        <v>29</v>
      </c>
      <c r="H359" s="4">
        <v>4</v>
      </c>
      <c r="I359" s="6">
        <v>3500</v>
      </c>
      <c r="J359" s="6">
        <v>14000</v>
      </c>
      <c r="K359" t="str" cm="1">
        <f t="array" ref="K359">_xlfn.IFS(J359&lt;30000,"Low Value",J359&lt;=100000,"Medium Value",J359&gt;100000,"High Value")</f>
        <v>Low Value</v>
      </c>
      <c r="L359" s="4" t="s">
        <v>33</v>
      </c>
      <c r="M359" s="4" t="s">
        <v>54</v>
      </c>
      <c r="N359" s="4" t="str">
        <f t="shared" si="15"/>
        <v>September</v>
      </c>
      <c r="O359" s="4" t="str">
        <f t="shared" si="16"/>
        <v>Q3</v>
      </c>
      <c r="P359" s="4">
        <f t="shared" si="17"/>
        <v>2025</v>
      </c>
    </row>
    <row r="360" spans="1:16" x14ac:dyDescent="0.25">
      <c r="A360" s="4">
        <v>359</v>
      </c>
      <c r="B360" s="5">
        <v>45683</v>
      </c>
      <c r="C360" s="4" t="s">
        <v>48</v>
      </c>
      <c r="D360" s="4" t="s">
        <v>71</v>
      </c>
      <c r="E360" s="4" t="s">
        <v>399</v>
      </c>
      <c r="F360" s="4" t="s">
        <v>15</v>
      </c>
      <c r="G360" s="4" t="s">
        <v>16</v>
      </c>
      <c r="H360" s="4">
        <v>7</v>
      </c>
      <c r="I360" s="6">
        <v>55000</v>
      </c>
      <c r="J360" s="6">
        <v>385000</v>
      </c>
      <c r="K360" t="str" cm="1">
        <f t="array" ref="K360">_xlfn.IFS(J360&lt;30000,"Low Value",J360&lt;=100000,"Medium Value",J360&gt;100000,"High Value")</f>
        <v>High Value</v>
      </c>
      <c r="L360" s="4" t="s">
        <v>23</v>
      </c>
      <c r="M360" s="4" t="s">
        <v>24</v>
      </c>
      <c r="N360" s="4" t="str">
        <f t="shared" si="15"/>
        <v>January</v>
      </c>
      <c r="O360" s="4" t="str">
        <f t="shared" si="16"/>
        <v>Q1</v>
      </c>
      <c r="P360" s="4">
        <f t="shared" si="17"/>
        <v>2025</v>
      </c>
    </row>
    <row r="361" spans="1:16" x14ac:dyDescent="0.25">
      <c r="A361" s="4">
        <v>360</v>
      </c>
      <c r="B361" s="5">
        <v>45791</v>
      </c>
      <c r="C361" s="4" t="s">
        <v>48</v>
      </c>
      <c r="D361" s="4" t="s">
        <v>38</v>
      </c>
      <c r="E361" s="4" t="s">
        <v>400</v>
      </c>
      <c r="F361" s="4" t="s">
        <v>28</v>
      </c>
      <c r="G361" s="4" t="s">
        <v>29</v>
      </c>
      <c r="H361" s="4">
        <v>6</v>
      </c>
      <c r="I361" s="6">
        <v>3500</v>
      </c>
      <c r="J361" s="6">
        <v>21000</v>
      </c>
      <c r="K361" t="str" cm="1">
        <f t="array" ref="K361">_xlfn.IFS(J361&lt;30000,"Low Value",J361&lt;=100000,"Medium Value",J361&gt;100000,"High Value")</f>
        <v>Low Value</v>
      </c>
      <c r="L361" s="4" t="s">
        <v>23</v>
      </c>
      <c r="M361" s="4" t="s">
        <v>24</v>
      </c>
      <c r="N361" s="4" t="str">
        <f t="shared" si="15"/>
        <v>May</v>
      </c>
      <c r="O361" s="4" t="str">
        <f t="shared" si="16"/>
        <v>Q2</v>
      </c>
      <c r="P361" s="4">
        <f t="shared" si="17"/>
        <v>2025</v>
      </c>
    </row>
    <row r="362" spans="1:16" x14ac:dyDescent="0.25">
      <c r="A362" s="4">
        <v>361</v>
      </c>
      <c r="B362" s="5">
        <v>45703</v>
      </c>
      <c r="C362" s="4" t="s">
        <v>34</v>
      </c>
      <c r="D362" s="4" t="s">
        <v>97</v>
      </c>
      <c r="E362" s="4" t="s">
        <v>401</v>
      </c>
      <c r="F362" s="4" t="s">
        <v>28</v>
      </c>
      <c r="G362" s="4" t="s">
        <v>29</v>
      </c>
      <c r="H362" s="4">
        <v>2</v>
      </c>
      <c r="I362" s="6">
        <v>3500</v>
      </c>
      <c r="J362" s="6">
        <v>7000</v>
      </c>
      <c r="K362" t="str" cm="1">
        <f t="array" ref="K362">_xlfn.IFS(J362&lt;30000,"Low Value",J362&lt;=100000,"Medium Value",J362&gt;100000,"High Value")</f>
        <v>Low Value</v>
      </c>
      <c r="L362" s="4" t="s">
        <v>17</v>
      </c>
      <c r="M362" s="4" t="s">
        <v>54</v>
      </c>
      <c r="N362" s="4" t="str">
        <f t="shared" si="15"/>
        <v>February</v>
      </c>
      <c r="O362" s="4" t="str">
        <f t="shared" si="16"/>
        <v>Q1</v>
      </c>
      <c r="P362" s="4">
        <f t="shared" si="17"/>
        <v>2025</v>
      </c>
    </row>
    <row r="363" spans="1:16" x14ac:dyDescent="0.25">
      <c r="A363" s="4">
        <v>362</v>
      </c>
      <c r="B363" s="5">
        <v>45718</v>
      </c>
      <c r="C363" s="4" t="s">
        <v>12</v>
      </c>
      <c r="D363" s="4" t="s">
        <v>13</v>
      </c>
      <c r="E363" s="4" t="s">
        <v>402</v>
      </c>
      <c r="F363" s="4" t="s">
        <v>22</v>
      </c>
      <c r="G363" s="4" t="s">
        <v>16</v>
      </c>
      <c r="H363" s="4">
        <v>6</v>
      </c>
      <c r="I363" s="6">
        <v>1200</v>
      </c>
      <c r="J363" s="6">
        <v>7200</v>
      </c>
      <c r="K363" t="str" cm="1">
        <f t="array" ref="K363">_xlfn.IFS(J363&lt;30000,"Low Value",J363&lt;=100000,"Medium Value",J363&gt;100000,"High Value")</f>
        <v>Low Value</v>
      </c>
      <c r="L363" s="4" t="s">
        <v>43</v>
      </c>
      <c r="M363" s="4" t="s">
        <v>24</v>
      </c>
      <c r="N363" s="4" t="str">
        <f t="shared" si="15"/>
        <v>March</v>
      </c>
      <c r="O363" s="4" t="str">
        <f t="shared" si="16"/>
        <v>Q1</v>
      </c>
      <c r="P363" s="4">
        <f t="shared" si="17"/>
        <v>2025</v>
      </c>
    </row>
    <row r="364" spans="1:16" x14ac:dyDescent="0.25">
      <c r="A364" s="4">
        <v>363</v>
      </c>
      <c r="B364" s="5">
        <v>45737</v>
      </c>
      <c r="C364" s="4" t="s">
        <v>12</v>
      </c>
      <c r="D364" s="4" t="s">
        <v>52</v>
      </c>
      <c r="E364" s="4" t="s">
        <v>403</v>
      </c>
      <c r="F364" s="4" t="s">
        <v>47</v>
      </c>
      <c r="G364" s="4" t="s">
        <v>16</v>
      </c>
      <c r="H364" s="4">
        <v>2</v>
      </c>
      <c r="I364" s="6">
        <v>9000</v>
      </c>
      <c r="J364" s="6">
        <v>18000</v>
      </c>
      <c r="K364" t="str" cm="1">
        <f t="array" ref="K364">_xlfn.IFS(J364&lt;30000,"Low Value",J364&lt;=100000,"Medium Value",J364&gt;100000,"High Value")</f>
        <v>Low Value</v>
      </c>
      <c r="L364" s="4" t="s">
        <v>43</v>
      </c>
      <c r="M364" s="4" t="s">
        <v>54</v>
      </c>
      <c r="N364" s="4" t="str">
        <f t="shared" si="15"/>
        <v>March</v>
      </c>
      <c r="O364" s="4" t="str">
        <f t="shared" si="16"/>
        <v>Q1</v>
      </c>
      <c r="P364" s="4">
        <f t="shared" si="17"/>
        <v>2025</v>
      </c>
    </row>
    <row r="365" spans="1:16" x14ac:dyDescent="0.25">
      <c r="A365" s="4">
        <v>364</v>
      </c>
      <c r="B365" s="5">
        <v>45884</v>
      </c>
      <c r="C365" s="4" t="s">
        <v>12</v>
      </c>
      <c r="D365" s="4" t="s">
        <v>13</v>
      </c>
      <c r="E365" s="4" t="s">
        <v>404</v>
      </c>
      <c r="F365" s="4" t="s">
        <v>28</v>
      </c>
      <c r="G365" s="4" t="s">
        <v>29</v>
      </c>
      <c r="H365" s="4">
        <v>7</v>
      </c>
      <c r="I365" s="6">
        <v>3500</v>
      </c>
      <c r="J365" s="6">
        <v>24500</v>
      </c>
      <c r="K365" t="str" cm="1">
        <f t="array" ref="K365">_xlfn.IFS(J365&lt;30000,"Low Value",J365&lt;=100000,"Medium Value",J365&gt;100000,"High Value")</f>
        <v>Low Value</v>
      </c>
      <c r="L365" s="4" t="s">
        <v>23</v>
      </c>
      <c r="M365" s="4" t="s">
        <v>24</v>
      </c>
      <c r="N365" s="4" t="str">
        <f t="shared" si="15"/>
        <v>August</v>
      </c>
      <c r="O365" s="4" t="str">
        <f t="shared" si="16"/>
        <v>Q3</v>
      </c>
      <c r="P365" s="4">
        <f t="shared" si="17"/>
        <v>2025</v>
      </c>
    </row>
    <row r="366" spans="1:16" x14ac:dyDescent="0.25">
      <c r="A366" s="4">
        <v>365</v>
      </c>
      <c r="B366" s="5">
        <v>45721</v>
      </c>
      <c r="C366" s="4" t="s">
        <v>25</v>
      </c>
      <c r="D366" s="4" t="s">
        <v>13</v>
      </c>
      <c r="E366" s="4" t="s">
        <v>405</v>
      </c>
      <c r="F366" s="4" t="s">
        <v>32</v>
      </c>
      <c r="G366" s="4" t="s">
        <v>29</v>
      </c>
      <c r="H366" s="4">
        <v>10</v>
      </c>
      <c r="I366" s="6">
        <v>7000</v>
      </c>
      <c r="J366" s="6">
        <v>70000</v>
      </c>
      <c r="K366" t="str" cm="1">
        <f t="array" ref="K366">_xlfn.IFS(J366&lt;30000,"Low Value",J366&lt;=100000,"Medium Value",J366&gt;100000,"High Value")</f>
        <v>Medium Value</v>
      </c>
      <c r="L366" s="4" t="s">
        <v>17</v>
      </c>
      <c r="M366" s="4" t="s">
        <v>54</v>
      </c>
      <c r="N366" s="4" t="str">
        <f t="shared" si="15"/>
        <v>March</v>
      </c>
      <c r="O366" s="4" t="str">
        <f t="shared" si="16"/>
        <v>Q1</v>
      </c>
      <c r="P366" s="4">
        <f t="shared" si="17"/>
        <v>2025</v>
      </c>
    </row>
    <row r="367" spans="1:16" x14ac:dyDescent="0.25">
      <c r="A367" s="4">
        <v>366</v>
      </c>
      <c r="B367" s="5">
        <v>45921</v>
      </c>
      <c r="C367" s="4" t="s">
        <v>48</v>
      </c>
      <c r="D367" s="4" t="s">
        <v>73</v>
      </c>
      <c r="E367" s="4" t="s">
        <v>406</v>
      </c>
      <c r="F367" s="4" t="s">
        <v>22</v>
      </c>
      <c r="G367" s="4" t="s">
        <v>16</v>
      </c>
      <c r="H367" s="4">
        <v>3</v>
      </c>
      <c r="I367" s="6">
        <v>1200</v>
      </c>
      <c r="J367" s="6">
        <v>3600</v>
      </c>
      <c r="K367" t="str" cm="1">
        <f t="array" ref="K367">_xlfn.IFS(J367&lt;30000,"Low Value",J367&lt;=100000,"Medium Value",J367&gt;100000,"High Value")</f>
        <v>Low Value</v>
      </c>
      <c r="L367" s="4" t="s">
        <v>33</v>
      </c>
      <c r="M367" s="4" t="s">
        <v>54</v>
      </c>
      <c r="N367" s="4" t="str">
        <f t="shared" si="15"/>
        <v>September</v>
      </c>
      <c r="O367" s="4" t="str">
        <f t="shared" si="16"/>
        <v>Q3</v>
      </c>
      <c r="P367" s="4">
        <f t="shared" si="17"/>
        <v>2025</v>
      </c>
    </row>
    <row r="368" spans="1:16" x14ac:dyDescent="0.25">
      <c r="A368" s="4">
        <v>367</v>
      </c>
      <c r="B368" s="5">
        <v>45860</v>
      </c>
      <c r="C368" s="4" t="s">
        <v>48</v>
      </c>
      <c r="D368" s="4" t="s">
        <v>55</v>
      </c>
      <c r="E368" s="4" t="s">
        <v>407</v>
      </c>
      <c r="F368" s="4" t="s">
        <v>28</v>
      </c>
      <c r="G368" s="4" t="s">
        <v>29</v>
      </c>
      <c r="H368" s="4">
        <v>8</v>
      </c>
      <c r="I368" s="6">
        <v>3500</v>
      </c>
      <c r="J368" s="6">
        <v>28000</v>
      </c>
      <c r="K368" t="str" cm="1">
        <f t="array" ref="K368">_xlfn.IFS(J368&lt;30000,"Low Value",J368&lt;=100000,"Medium Value",J368&gt;100000,"High Value")</f>
        <v>Low Value</v>
      </c>
      <c r="L368" s="4" t="s">
        <v>33</v>
      </c>
      <c r="M368" s="4" t="s">
        <v>54</v>
      </c>
      <c r="N368" s="4" t="str">
        <f t="shared" si="15"/>
        <v>July</v>
      </c>
      <c r="O368" s="4" t="str">
        <f t="shared" si="16"/>
        <v>Q3</v>
      </c>
      <c r="P368" s="4">
        <f t="shared" si="17"/>
        <v>2025</v>
      </c>
    </row>
    <row r="369" spans="1:16" x14ac:dyDescent="0.25">
      <c r="A369" s="4">
        <v>368</v>
      </c>
      <c r="B369" s="5">
        <v>45666</v>
      </c>
      <c r="C369" s="4" t="s">
        <v>12</v>
      </c>
      <c r="D369" s="4" t="s">
        <v>97</v>
      </c>
      <c r="E369" s="4" t="s">
        <v>408</v>
      </c>
      <c r="F369" s="4" t="s">
        <v>15</v>
      </c>
      <c r="G369" s="4" t="s">
        <v>16</v>
      </c>
      <c r="H369" s="4">
        <v>2</v>
      </c>
      <c r="I369" s="6">
        <v>55000</v>
      </c>
      <c r="J369" s="6">
        <v>110000</v>
      </c>
      <c r="K369" t="str" cm="1">
        <f t="array" ref="K369">_xlfn.IFS(J369&lt;30000,"Low Value",J369&lt;=100000,"Medium Value",J369&gt;100000,"High Value")</f>
        <v>High Value</v>
      </c>
      <c r="L369" s="4" t="s">
        <v>23</v>
      </c>
      <c r="M369" s="4" t="s">
        <v>24</v>
      </c>
      <c r="N369" s="4" t="str">
        <f t="shared" si="15"/>
        <v>January</v>
      </c>
      <c r="O369" s="4" t="str">
        <f t="shared" si="16"/>
        <v>Q1</v>
      </c>
      <c r="P369" s="4">
        <f t="shared" si="17"/>
        <v>2025</v>
      </c>
    </row>
    <row r="370" spans="1:16" x14ac:dyDescent="0.25">
      <c r="A370" s="4">
        <v>369</v>
      </c>
      <c r="B370" s="5">
        <v>45872</v>
      </c>
      <c r="C370" s="4" t="s">
        <v>34</v>
      </c>
      <c r="D370" s="4" t="s">
        <v>20</v>
      </c>
      <c r="E370" s="4" t="s">
        <v>409</v>
      </c>
      <c r="F370" s="4" t="s">
        <v>22</v>
      </c>
      <c r="G370" s="4" t="s">
        <v>16</v>
      </c>
      <c r="H370" s="4">
        <v>8</v>
      </c>
      <c r="I370" s="6">
        <v>1200</v>
      </c>
      <c r="J370" s="6">
        <v>9600</v>
      </c>
      <c r="K370" t="str" cm="1">
        <f t="array" ref="K370">_xlfn.IFS(J370&lt;30000,"Low Value",J370&lt;=100000,"Medium Value",J370&gt;100000,"High Value")</f>
        <v>Low Value</v>
      </c>
      <c r="L370" s="4" t="s">
        <v>43</v>
      </c>
      <c r="M370" s="4" t="s">
        <v>24</v>
      </c>
      <c r="N370" s="4" t="str">
        <f t="shared" si="15"/>
        <v>August</v>
      </c>
      <c r="O370" s="4" t="str">
        <f t="shared" si="16"/>
        <v>Q3</v>
      </c>
      <c r="P370" s="4">
        <f t="shared" si="17"/>
        <v>2025</v>
      </c>
    </row>
    <row r="371" spans="1:16" x14ac:dyDescent="0.25">
      <c r="A371" s="4">
        <v>370</v>
      </c>
      <c r="B371" s="5">
        <v>45976</v>
      </c>
      <c r="C371" s="4" t="s">
        <v>25</v>
      </c>
      <c r="D371" s="4" t="s">
        <v>73</v>
      </c>
      <c r="E371" s="4" t="s">
        <v>410</v>
      </c>
      <c r="F371" s="4" t="s">
        <v>28</v>
      </c>
      <c r="G371" s="4" t="s">
        <v>29</v>
      </c>
      <c r="H371" s="4">
        <v>8</v>
      </c>
      <c r="I371" s="6">
        <v>3500</v>
      </c>
      <c r="J371" s="6">
        <v>28000</v>
      </c>
      <c r="K371" t="str" cm="1">
        <f t="array" ref="K371">_xlfn.IFS(J371&lt;30000,"Low Value",J371&lt;=100000,"Medium Value",J371&gt;100000,"High Value")</f>
        <v>Low Value</v>
      </c>
      <c r="L371" s="4" t="s">
        <v>33</v>
      </c>
      <c r="M371" s="4" t="s">
        <v>24</v>
      </c>
      <c r="N371" s="4" t="str">
        <f t="shared" si="15"/>
        <v>November</v>
      </c>
      <c r="O371" s="4" t="str">
        <f t="shared" si="16"/>
        <v>Q4</v>
      </c>
      <c r="P371" s="4">
        <f t="shared" si="17"/>
        <v>2025</v>
      </c>
    </row>
    <row r="372" spans="1:16" x14ac:dyDescent="0.25">
      <c r="A372" s="4">
        <v>371</v>
      </c>
      <c r="B372" s="5">
        <v>45769</v>
      </c>
      <c r="C372" s="4" t="s">
        <v>19</v>
      </c>
      <c r="D372" s="4" t="s">
        <v>44</v>
      </c>
      <c r="E372" s="4" t="s">
        <v>411</v>
      </c>
      <c r="F372" s="4" t="s">
        <v>47</v>
      </c>
      <c r="G372" s="4" t="s">
        <v>16</v>
      </c>
      <c r="H372" s="4">
        <v>10</v>
      </c>
      <c r="I372" s="6">
        <v>9000</v>
      </c>
      <c r="J372" s="6">
        <v>90000</v>
      </c>
      <c r="K372" t="str" cm="1">
        <f t="array" ref="K372">_xlfn.IFS(J372&lt;30000,"Low Value",J372&lt;=100000,"Medium Value",J372&gt;100000,"High Value")</f>
        <v>Medium Value</v>
      </c>
      <c r="L372" s="4" t="s">
        <v>23</v>
      </c>
      <c r="M372" s="4" t="s">
        <v>24</v>
      </c>
      <c r="N372" s="4" t="str">
        <f t="shared" si="15"/>
        <v>April</v>
      </c>
      <c r="O372" s="4" t="str">
        <f t="shared" si="16"/>
        <v>Q2</v>
      </c>
      <c r="P372" s="4">
        <f t="shared" si="17"/>
        <v>2025</v>
      </c>
    </row>
    <row r="373" spans="1:16" x14ac:dyDescent="0.25">
      <c r="A373" s="4">
        <v>372</v>
      </c>
      <c r="B373" s="5">
        <v>46004</v>
      </c>
      <c r="C373" s="4" t="s">
        <v>34</v>
      </c>
      <c r="D373" s="4" t="s">
        <v>92</v>
      </c>
      <c r="E373" s="4" t="s">
        <v>412</v>
      </c>
      <c r="F373" s="4" t="s">
        <v>40</v>
      </c>
      <c r="G373" s="4" t="s">
        <v>16</v>
      </c>
      <c r="H373" s="4">
        <v>1</v>
      </c>
      <c r="I373" s="6">
        <v>500</v>
      </c>
      <c r="J373" s="6">
        <v>500</v>
      </c>
      <c r="K373" t="str" cm="1">
        <f t="array" ref="K373">_xlfn.IFS(J373&lt;30000,"Low Value",J373&lt;=100000,"Medium Value",J373&gt;100000,"High Value")</f>
        <v>Low Value</v>
      </c>
      <c r="L373" s="4" t="s">
        <v>23</v>
      </c>
      <c r="M373" s="4" t="s">
        <v>24</v>
      </c>
      <c r="N373" s="4" t="str">
        <f t="shared" si="15"/>
        <v>December</v>
      </c>
      <c r="O373" s="4" t="str">
        <f t="shared" si="16"/>
        <v>Q4</v>
      </c>
      <c r="P373" s="4">
        <f t="shared" si="17"/>
        <v>2025</v>
      </c>
    </row>
    <row r="374" spans="1:16" x14ac:dyDescent="0.25">
      <c r="A374" s="4">
        <v>373</v>
      </c>
      <c r="B374" s="5">
        <v>45740</v>
      </c>
      <c r="C374" s="4" t="s">
        <v>19</v>
      </c>
      <c r="D374" s="4" t="s">
        <v>49</v>
      </c>
      <c r="E374" s="4" t="s">
        <v>413</v>
      </c>
      <c r="F374" s="4" t="s">
        <v>15</v>
      </c>
      <c r="G374" s="4" t="s">
        <v>16</v>
      </c>
      <c r="H374" s="4">
        <v>5</v>
      </c>
      <c r="I374" s="6">
        <v>55000</v>
      </c>
      <c r="J374" s="6">
        <v>275000</v>
      </c>
      <c r="K374" t="str" cm="1">
        <f t="array" ref="K374">_xlfn.IFS(J374&lt;30000,"Low Value",J374&lt;=100000,"Medium Value",J374&gt;100000,"High Value")</f>
        <v>High Value</v>
      </c>
      <c r="L374" s="4" t="s">
        <v>17</v>
      </c>
      <c r="M374" s="4" t="s">
        <v>24</v>
      </c>
      <c r="N374" s="4" t="str">
        <f t="shared" si="15"/>
        <v>March</v>
      </c>
      <c r="O374" s="4" t="str">
        <f t="shared" si="16"/>
        <v>Q1</v>
      </c>
      <c r="P374" s="4">
        <f t="shared" si="17"/>
        <v>2025</v>
      </c>
    </row>
    <row r="375" spans="1:16" x14ac:dyDescent="0.25">
      <c r="A375" s="4">
        <v>374</v>
      </c>
      <c r="B375" s="5">
        <v>45683</v>
      </c>
      <c r="C375" s="4" t="s">
        <v>34</v>
      </c>
      <c r="D375" s="4" t="s">
        <v>59</v>
      </c>
      <c r="E375" s="4" t="s">
        <v>414</v>
      </c>
      <c r="F375" s="4" t="s">
        <v>47</v>
      </c>
      <c r="G375" s="4" t="s">
        <v>16</v>
      </c>
      <c r="H375" s="4">
        <v>10</v>
      </c>
      <c r="I375" s="6">
        <v>9000</v>
      </c>
      <c r="J375" s="6">
        <v>90000</v>
      </c>
      <c r="K375" t="str" cm="1">
        <f t="array" ref="K375">_xlfn.IFS(J375&lt;30000,"Low Value",J375&lt;=100000,"Medium Value",J375&gt;100000,"High Value")</f>
        <v>Medium Value</v>
      </c>
      <c r="L375" s="4" t="s">
        <v>17</v>
      </c>
      <c r="M375" s="4" t="s">
        <v>24</v>
      </c>
      <c r="N375" s="4" t="str">
        <f t="shared" si="15"/>
        <v>January</v>
      </c>
      <c r="O375" s="4" t="str">
        <f t="shared" si="16"/>
        <v>Q1</v>
      </c>
      <c r="P375" s="4">
        <f t="shared" si="17"/>
        <v>2025</v>
      </c>
    </row>
    <row r="376" spans="1:16" x14ac:dyDescent="0.25">
      <c r="A376" s="4">
        <v>375</v>
      </c>
      <c r="B376" s="5">
        <v>45766</v>
      </c>
      <c r="C376" s="4" t="s">
        <v>25</v>
      </c>
      <c r="D376" s="4" t="s">
        <v>55</v>
      </c>
      <c r="E376" s="4" t="s">
        <v>415</v>
      </c>
      <c r="F376" s="4" t="s">
        <v>28</v>
      </c>
      <c r="G376" s="4" t="s">
        <v>29</v>
      </c>
      <c r="H376" s="4">
        <v>3</v>
      </c>
      <c r="I376" s="6">
        <v>3500</v>
      </c>
      <c r="J376" s="6">
        <v>10500</v>
      </c>
      <c r="K376" t="str" cm="1">
        <f t="array" ref="K376">_xlfn.IFS(J376&lt;30000,"Low Value",J376&lt;=100000,"Medium Value",J376&gt;100000,"High Value")</f>
        <v>Low Value</v>
      </c>
      <c r="L376" s="4" t="s">
        <v>43</v>
      </c>
      <c r="M376" s="4" t="s">
        <v>24</v>
      </c>
      <c r="N376" s="4" t="str">
        <f t="shared" si="15"/>
        <v>April</v>
      </c>
      <c r="O376" s="4" t="str">
        <f t="shared" si="16"/>
        <v>Q2</v>
      </c>
      <c r="P376" s="4">
        <f t="shared" si="17"/>
        <v>2025</v>
      </c>
    </row>
    <row r="377" spans="1:16" x14ac:dyDescent="0.25">
      <c r="A377" s="4">
        <v>376</v>
      </c>
      <c r="B377" s="5">
        <v>45773</v>
      </c>
      <c r="C377" s="4" t="s">
        <v>19</v>
      </c>
      <c r="D377" s="4" t="s">
        <v>44</v>
      </c>
      <c r="E377" s="4" t="s">
        <v>416</v>
      </c>
      <c r="F377" s="4" t="s">
        <v>22</v>
      </c>
      <c r="G377" s="4" t="s">
        <v>16</v>
      </c>
      <c r="H377" s="4">
        <v>4</v>
      </c>
      <c r="I377" s="6">
        <v>1200</v>
      </c>
      <c r="J377" s="6">
        <v>4800</v>
      </c>
      <c r="K377" t="str" cm="1">
        <f t="array" ref="K377">_xlfn.IFS(J377&lt;30000,"Low Value",J377&lt;=100000,"Medium Value",J377&gt;100000,"High Value")</f>
        <v>Low Value</v>
      </c>
      <c r="L377" s="4" t="s">
        <v>23</v>
      </c>
      <c r="M377" s="4" t="s">
        <v>18</v>
      </c>
      <c r="N377" s="4" t="str">
        <f t="shared" si="15"/>
        <v>April</v>
      </c>
      <c r="O377" s="4" t="str">
        <f t="shared" si="16"/>
        <v>Q2</v>
      </c>
      <c r="P377" s="4">
        <f t="shared" si="17"/>
        <v>2025</v>
      </c>
    </row>
    <row r="378" spans="1:16" x14ac:dyDescent="0.25">
      <c r="A378" s="4">
        <v>377</v>
      </c>
      <c r="B378" s="5">
        <v>45867</v>
      </c>
      <c r="C378" s="4" t="s">
        <v>48</v>
      </c>
      <c r="D378" s="4" t="s">
        <v>66</v>
      </c>
      <c r="E378" s="4" t="s">
        <v>417</v>
      </c>
      <c r="F378" s="4" t="s">
        <v>22</v>
      </c>
      <c r="G378" s="4" t="s">
        <v>16</v>
      </c>
      <c r="H378" s="4">
        <v>4</v>
      </c>
      <c r="I378" s="6">
        <v>1200</v>
      </c>
      <c r="J378" s="6">
        <v>4800</v>
      </c>
      <c r="K378" t="str" cm="1">
        <f t="array" ref="K378">_xlfn.IFS(J378&lt;30000,"Low Value",J378&lt;=100000,"Medium Value",J378&gt;100000,"High Value")</f>
        <v>Low Value</v>
      </c>
      <c r="L378" s="4" t="s">
        <v>43</v>
      </c>
      <c r="M378" s="4" t="s">
        <v>24</v>
      </c>
      <c r="N378" s="4" t="str">
        <f t="shared" si="15"/>
        <v>July</v>
      </c>
      <c r="O378" s="4" t="str">
        <f t="shared" si="16"/>
        <v>Q3</v>
      </c>
      <c r="P378" s="4">
        <f t="shared" si="17"/>
        <v>2025</v>
      </c>
    </row>
    <row r="379" spans="1:16" x14ac:dyDescent="0.25">
      <c r="A379" s="4">
        <v>378</v>
      </c>
      <c r="B379" s="5">
        <v>45771</v>
      </c>
      <c r="C379" s="4" t="s">
        <v>34</v>
      </c>
      <c r="D379" s="4" t="s">
        <v>97</v>
      </c>
      <c r="E379" s="4" t="s">
        <v>418</v>
      </c>
      <c r="F379" s="4" t="s">
        <v>32</v>
      </c>
      <c r="G379" s="4" t="s">
        <v>29</v>
      </c>
      <c r="H379" s="4">
        <v>6</v>
      </c>
      <c r="I379" s="6">
        <v>7000</v>
      </c>
      <c r="J379" s="6">
        <v>42000</v>
      </c>
      <c r="K379" t="str" cm="1">
        <f t="array" ref="K379">_xlfn.IFS(J379&lt;30000,"Low Value",J379&lt;=100000,"Medium Value",J379&gt;100000,"High Value")</f>
        <v>Medium Value</v>
      </c>
      <c r="L379" s="4" t="s">
        <v>33</v>
      </c>
      <c r="M379" s="4" t="s">
        <v>24</v>
      </c>
      <c r="N379" s="4" t="str">
        <f t="shared" si="15"/>
        <v>April</v>
      </c>
      <c r="O379" s="4" t="str">
        <f t="shared" si="16"/>
        <v>Q2</v>
      </c>
      <c r="P379" s="4">
        <f t="shared" si="17"/>
        <v>2025</v>
      </c>
    </row>
    <row r="380" spans="1:16" x14ac:dyDescent="0.25">
      <c r="A380" s="4">
        <v>379</v>
      </c>
      <c r="B380" s="5">
        <v>45990</v>
      </c>
      <c r="C380" s="4" t="s">
        <v>12</v>
      </c>
      <c r="D380" s="4" t="s">
        <v>66</v>
      </c>
      <c r="E380" s="4" t="s">
        <v>419</v>
      </c>
      <c r="F380" s="4" t="s">
        <v>22</v>
      </c>
      <c r="G380" s="4" t="s">
        <v>16</v>
      </c>
      <c r="H380" s="4">
        <v>8</v>
      </c>
      <c r="I380" s="6">
        <v>1200</v>
      </c>
      <c r="J380" s="6">
        <v>9600</v>
      </c>
      <c r="K380" t="str" cm="1">
        <f t="array" ref="K380">_xlfn.IFS(J380&lt;30000,"Low Value",J380&lt;=100000,"Medium Value",J380&gt;100000,"High Value")</f>
        <v>Low Value</v>
      </c>
      <c r="L380" s="4" t="s">
        <v>33</v>
      </c>
      <c r="M380" s="4" t="s">
        <v>24</v>
      </c>
      <c r="N380" s="4" t="str">
        <f t="shared" si="15"/>
        <v>November</v>
      </c>
      <c r="O380" s="4" t="str">
        <f t="shared" si="16"/>
        <v>Q4</v>
      </c>
      <c r="P380" s="4">
        <f t="shared" si="17"/>
        <v>2025</v>
      </c>
    </row>
    <row r="381" spans="1:16" x14ac:dyDescent="0.25">
      <c r="A381" s="4">
        <v>380</v>
      </c>
      <c r="B381" s="5">
        <v>45824</v>
      </c>
      <c r="C381" s="4" t="s">
        <v>48</v>
      </c>
      <c r="D381" s="4" t="s">
        <v>121</v>
      </c>
      <c r="E381" s="4" t="s">
        <v>420</v>
      </c>
      <c r="F381" s="4" t="s">
        <v>15</v>
      </c>
      <c r="G381" s="4" t="s">
        <v>16</v>
      </c>
      <c r="H381" s="4">
        <v>9</v>
      </c>
      <c r="I381" s="6">
        <v>55000</v>
      </c>
      <c r="J381" s="6">
        <v>495000</v>
      </c>
      <c r="K381" t="str" cm="1">
        <f t="array" ref="K381">_xlfn.IFS(J381&lt;30000,"Low Value",J381&lt;=100000,"Medium Value",J381&gt;100000,"High Value")</f>
        <v>High Value</v>
      </c>
      <c r="L381" s="4" t="s">
        <v>23</v>
      </c>
      <c r="M381" s="4" t="s">
        <v>24</v>
      </c>
      <c r="N381" s="4" t="str">
        <f t="shared" si="15"/>
        <v>June</v>
      </c>
      <c r="O381" s="4" t="str">
        <f t="shared" si="16"/>
        <v>Q2</v>
      </c>
      <c r="P381" s="4">
        <f t="shared" si="17"/>
        <v>2025</v>
      </c>
    </row>
    <row r="382" spans="1:16" x14ac:dyDescent="0.25">
      <c r="A382" s="4">
        <v>381</v>
      </c>
      <c r="B382" s="5">
        <v>45901</v>
      </c>
      <c r="C382" s="4" t="s">
        <v>48</v>
      </c>
      <c r="D382" s="4" t="s">
        <v>36</v>
      </c>
      <c r="E382" s="4" t="s">
        <v>421</v>
      </c>
      <c r="F382" s="4" t="s">
        <v>22</v>
      </c>
      <c r="G382" s="4" t="s">
        <v>16</v>
      </c>
      <c r="H382" s="4">
        <v>4</v>
      </c>
      <c r="I382" s="6">
        <v>1200</v>
      </c>
      <c r="J382" s="6">
        <v>4800</v>
      </c>
      <c r="K382" t="str" cm="1">
        <f t="array" ref="K382">_xlfn.IFS(J382&lt;30000,"Low Value",J382&lt;=100000,"Medium Value",J382&gt;100000,"High Value")</f>
        <v>Low Value</v>
      </c>
      <c r="L382" s="4" t="s">
        <v>23</v>
      </c>
      <c r="M382" s="4" t="s">
        <v>24</v>
      </c>
      <c r="N382" s="4" t="str">
        <f t="shared" si="15"/>
        <v>September</v>
      </c>
      <c r="O382" s="4" t="str">
        <f t="shared" si="16"/>
        <v>Q3</v>
      </c>
      <c r="P382" s="4">
        <f t="shared" si="17"/>
        <v>2025</v>
      </c>
    </row>
    <row r="383" spans="1:16" x14ac:dyDescent="0.25">
      <c r="A383" s="4">
        <v>382</v>
      </c>
      <c r="B383" s="5">
        <v>45685</v>
      </c>
      <c r="C383" s="4" t="s">
        <v>19</v>
      </c>
      <c r="D383" s="4" t="s">
        <v>44</v>
      </c>
      <c r="E383" s="4" t="s">
        <v>422</v>
      </c>
      <c r="F383" s="4" t="s">
        <v>15</v>
      </c>
      <c r="G383" s="4" t="s">
        <v>16</v>
      </c>
      <c r="H383" s="4">
        <v>5</v>
      </c>
      <c r="I383" s="6">
        <v>55000</v>
      </c>
      <c r="J383" s="6">
        <v>275000</v>
      </c>
      <c r="K383" t="str" cm="1">
        <f t="array" ref="K383">_xlfn.IFS(J383&lt;30000,"Low Value",J383&lt;=100000,"Medium Value",J383&gt;100000,"High Value")</f>
        <v>High Value</v>
      </c>
      <c r="L383" s="4" t="s">
        <v>43</v>
      </c>
      <c r="M383" s="4" t="s">
        <v>24</v>
      </c>
      <c r="N383" s="4" t="str">
        <f t="shared" si="15"/>
        <v>January</v>
      </c>
      <c r="O383" s="4" t="str">
        <f t="shared" si="16"/>
        <v>Q1</v>
      </c>
      <c r="P383" s="4">
        <f t="shared" si="17"/>
        <v>2025</v>
      </c>
    </row>
    <row r="384" spans="1:16" x14ac:dyDescent="0.25">
      <c r="A384" s="4">
        <v>383</v>
      </c>
      <c r="B384" s="5">
        <v>45725</v>
      </c>
      <c r="C384" s="4" t="s">
        <v>19</v>
      </c>
      <c r="D384" s="4" t="s">
        <v>121</v>
      </c>
      <c r="E384" s="4" t="s">
        <v>423</v>
      </c>
      <c r="F384" s="4" t="s">
        <v>40</v>
      </c>
      <c r="G384" s="4" t="s">
        <v>16</v>
      </c>
      <c r="H384" s="4">
        <v>6</v>
      </c>
      <c r="I384" s="6">
        <v>500</v>
      </c>
      <c r="J384" s="6">
        <v>3000</v>
      </c>
      <c r="K384" t="str" cm="1">
        <f t="array" ref="K384">_xlfn.IFS(J384&lt;30000,"Low Value",J384&lt;=100000,"Medium Value",J384&gt;100000,"High Value")</f>
        <v>Low Value</v>
      </c>
      <c r="L384" s="4" t="s">
        <v>23</v>
      </c>
      <c r="M384" s="4" t="s">
        <v>24</v>
      </c>
      <c r="N384" s="4" t="str">
        <f t="shared" si="15"/>
        <v>March</v>
      </c>
      <c r="O384" s="4" t="str">
        <f t="shared" si="16"/>
        <v>Q1</v>
      </c>
      <c r="P384" s="4">
        <f t="shared" si="17"/>
        <v>2025</v>
      </c>
    </row>
    <row r="385" spans="1:16" x14ac:dyDescent="0.25">
      <c r="A385" s="4">
        <v>384</v>
      </c>
      <c r="B385" s="5">
        <v>45703</v>
      </c>
      <c r="C385" s="4" t="s">
        <v>19</v>
      </c>
      <c r="D385" s="4" t="s">
        <v>66</v>
      </c>
      <c r="E385" s="4" t="s">
        <v>424</v>
      </c>
      <c r="F385" s="4" t="s">
        <v>15</v>
      </c>
      <c r="G385" s="4" t="s">
        <v>16</v>
      </c>
      <c r="H385" s="4">
        <v>7</v>
      </c>
      <c r="I385" s="6">
        <v>55000</v>
      </c>
      <c r="J385" s="6">
        <v>385000</v>
      </c>
      <c r="K385" t="str" cm="1">
        <f t="array" ref="K385">_xlfn.IFS(J385&lt;30000,"Low Value",J385&lt;=100000,"Medium Value",J385&gt;100000,"High Value")</f>
        <v>High Value</v>
      </c>
      <c r="L385" s="4" t="s">
        <v>33</v>
      </c>
      <c r="M385" s="4" t="s">
        <v>24</v>
      </c>
      <c r="N385" s="4" t="str">
        <f t="shared" si="15"/>
        <v>February</v>
      </c>
      <c r="O385" s="4" t="str">
        <f t="shared" si="16"/>
        <v>Q1</v>
      </c>
      <c r="P385" s="4">
        <f t="shared" si="17"/>
        <v>2025</v>
      </c>
    </row>
    <row r="386" spans="1:16" x14ac:dyDescent="0.25">
      <c r="A386" s="4">
        <v>385</v>
      </c>
      <c r="B386" s="5">
        <v>45922</v>
      </c>
      <c r="C386" s="4" t="s">
        <v>12</v>
      </c>
      <c r="D386" s="4" t="s">
        <v>85</v>
      </c>
      <c r="E386" s="4" t="s">
        <v>425</v>
      </c>
      <c r="F386" s="4" t="s">
        <v>15</v>
      </c>
      <c r="G386" s="4" t="s">
        <v>16</v>
      </c>
      <c r="H386" s="4">
        <v>6</v>
      </c>
      <c r="I386" s="6">
        <v>55000</v>
      </c>
      <c r="J386" s="6">
        <v>330000</v>
      </c>
      <c r="K386" t="str" cm="1">
        <f t="array" ref="K386">_xlfn.IFS(J386&lt;30000,"Low Value",J386&lt;=100000,"Medium Value",J386&gt;100000,"High Value")</f>
        <v>High Value</v>
      </c>
      <c r="L386" s="4" t="s">
        <v>43</v>
      </c>
      <c r="M386" s="4" t="s">
        <v>54</v>
      </c>
      <c r="N386" s="4" t="str">
        <f t="shared" si="15"/>
        <v>September</v>
      </c>
      <c r="O386" s="4" t="str">
        <f t="shared" si="16"/>
        <v>Q3</v>
      </c>
      <c r="P386" s="4">
        <f t="shared" si="17"/>
        <v>2025</v>
      </c>
    </row>
    <row r="387" spans="1:16" x14ac:dyDescent="0.25">
      <c r="A387" s="4">
        <v>386</v>
      </c>
      <c r="B387" s="5">
        <v>45674</v>
      </c>
      <c r="C387" s="4" t="s">
        <v>12</v>
      </c>
      <c r="D387" s="4" t="s">
        <v>85</v>
      </c>
      <c r="E387" s="4" t="s">
        <v>426</v>
      </c>
      <c r="F387" s="4" t="s">
        <v>40</v>
      </c>
      <c r="G387" s="4" t="s">
        <v>16</v>
      </c>
      <c r="H387" s="4">
        <v>6</v>
      </c>
      <c r="I387" s="6">
        <v>500</v>
      </c>
      <c r="J387" s="6">
        <v>3000</v>
      </c>
      <c r="K387" t="str" cm="1">
        <f t="array" ref="K387">_xlfn.IFS(J387&lt;30000,"Low Value",J387&lt;=100000,"Medium Value",J387&gt;100000,"High Value")</f>
        <v>Low Value</v>
      </c>
      <c r="L387" s="4" t="s">
        <v>43</v>
      </c>
      <c r="M387" s="4" t="s">
        <v>54</v>
      </c>
      <c r="N387" s="4" t="str">
        <f t="shared" ref="N387:N450" si="18">TEXT(B387,"MMMM")</f>
        <v>January</v>
      </c>
      <c r="O387" s="4" t="str">
        <f t="shared" ref="O387:O450" si="19">"Q"&amp;ROUNDUP(MONTH(B387)/3,0)</f>
        <v>Q1</v>
      </c>
      <c r="P387" s="4">
        <f t="shared" ref="P387:P450" si="20">YEAR(B:B)</f>
        <v>2025</v>
      </c>
    </row>
    <row r="388" spans="1:16" x14ac:dyDescent="0.25">
      <c r="A388" s="4">
        <v>387</v>
      </c>
      <c r="B388" s="5">
        <v>45893</v>
      </c>
      <c r="C388" s="4" t="s">
        <v>19</v>
      </c>
      <c r="D388" s="4" t="s">
        <v>36</v>
      </c>
      <c r="E388" s="4" t="s">
        <v>427</v>
      </c>
      <c r="F388" s="4" t="s">
        <v>15</v>
      </c>
      <c r="G388" s="4" t="s">
        <v>16</v>
      </c>
      <c r="H388" s="4">
        <v>4</v>
      </c>
      <c r="I388" s="6">
        <v>55000</v>
      </c>
      <c r="J388" s="6">
        <v>220000</v>
      </c>
      <c r="K388" t="str" cm="1">
        <f t="array" ref="K388">_xlfn.IFS(J388&lt;30000,"Low Value",J388&lt;=100000,"Medium Value",J388&gt;100000,"High Value")</f>
        <v>High Value</v>
      </c>
      <c r="L388" s="4" t="s">
        <v>17</v>
      </c>
      <c r="M388" s="4" t="s">
        <v>24</v>
      </c>
      <c r="N388" s="4" t="str">
        <f t="shared" si="18"/>
        <v>August</v>
      </c>
      <c r="O388" s="4" t="str">
        <f t="shared" si="19"/>
        <v>Q3</v>
      </c>
      <c r="P388" s="4">
        <f t="shared" si="20"/>
        <v>2025</v>
      </c>
    </row>
    <row r="389" spans="1:16" x14ac:dyDescent="0.25">
      <c r="A389" s="4">
        <v>388</v>
      </c>
      <c r="B389" s="5">
        <v>45739</v>
      </c>
      <c r="C389" s="4" t="s">
        <v>34</v>
      </c>
      <c r="D389" s="4" t="s">
        <v>64</v>
      </c>
      <c r="E389" s="4" t="s">
        <v>428</v>
      </c>
      <c r="F389" s="4" t="s">
        <v>40</v>
      </c>
      <c r="G389" s="4" t="s">
        <v>16</v>
      </c>
      <c r="H389" s="4">
        <v>2</v>
      </c>
      <c r="I389" s="6">
        <v>500</v>
      </c>
      <c r="J389" s="6">
        <v>1000</v>
      </c>
      <c r="K389" t="str" cm="1">
        <f t="array" ref="K389">_xlfn.IFS(J389&lt;30000,"Low Value",J389&lt;=100000,"Medium Value",J389&gt;100000,"High Value")</f>
        <v>Low Value</v>
      </c>
      <c r="L389" s="4" t="s">
        <v>43</v>
      </c>
      <c r="M389" s="4" t="s">
        <v>24</v>
      </c>
      <c r="N389" s="4" t="str">
        <f t="shared" si="18"/>
        <v>March</v>
      </c>
      <c r="O389" s="4" t="str">
        <f t="shared" si="19"/>
        <v>Q1</v>
      </c>
      <c r="P389" s="4">
        <f t="shared" si="20"/>
        <v>2025</v>
      </c>
    </row>
    <row r="390" spans="1:16" x14ac:dyDescent="0.25">
      <c r="A390" s="4">
        <v>389</v>
      </c>
      <c r="B390" s="5">
        <v>45900</v>
      </c>
      <c r="C390" s="4" t="s">
        <v>34</v>
      </c>
      <c r="D390" s="4" t="s">
        <v>41</v>
      </c>
      <c r="E390" s="4" t="s">
        <v>429</v>
      </c>
      <c r="F390" s="4" t="s">
        <v>22</v>
      </c>
      <c r="G390" s="4" t="s">
        <v>16</v>
      </c>
      <c r="H390" s="4">
        <v>1</v>
      </c>
      <c r="I390" s="6">
        <v>1200</v>
      </c>
      <c r="J390" s="6">
        <v>1200</v>
      </c>
      <c r="K390" t="str" cm="1">
        <f t="array" ref="K390">_xlfn.IFS(J390&lt;30000,"Low Value",J390&lt;=100000,"Medium Value",J390&gt;100000,"High Value")</f>
        <v>Low Value</v>
      </c>
      <c r="L390" s="4" t="s">
        <v>33</v>
      </c>
      <c r="M390" s="4" t="s">
        <v>54</v>
      </c>
      <c r="N390" s="4" t="str">
        <f t="shared" si="18"/>
        <v>August</v>
      </c>
      <c r="O390" s="4" t="str">
        <f t="shared" si="19"/>
        <v>Q3</v>
      </c>
      <c r="P390" s="4">
        <f t="shared" si="20"/>
        <v>2025</v>
      </c>
    </row>
    <row r="391" spans="1:16" x14ac:dyDescent="0.25">
      <c r="A391" s="4">
        <v>390</v>
      </c>
      <c r="B391" s="5">
        <v>45815</v>
      </c>
      <c r="C391" s="4" t="s">
        <v>34</v>
      </c>
      <c r="D391" s="4" t="s">
        <v>92</v>
      </c>
      <c r="E391" s="4" t="s">
        <v>430</v>
      </c>
      <c r="F391" s="4" t="s">
        <v>32</v>
      </c>
      <c r="G391" s="4" t="s">
        <v>29</v>
      </c>
      <c r="H391" s="4">
        <v>8</v>
      </c>
      <c r="I391" s="6">
        <v>7000</v>
      </c>
      <c r="J391" s="6">
        <v>56000</v>
      </c>
      <c r="K391" t="str" cm="1">
        <f t="array" ref="K391">_xlfn.IFS(J391&lt;30000,"Low Value",J391&lt;=100000,"Medium Value",J391&gt;100000,"High Value")</f>
        <v>Medium Value</v>
      </c>
      <c r="L391" s="4" t="s">
        <v>33</v>
      </c>
      <c r="M391" s="4" t="s">
        <v>24</v>
      </c>
      <c r="N391" s="4" t="str">
        <f t="shared" si="18"/>
        <v>June</v>
      </c>
      <c r="O391" s="4" t="str">
        <f t="shared" si="19"/>
        <v>Q2</v>
      </c>
      <c r="P391" s="4">
        <f t="shared" si="20"/>
        <v>2025</v>
      </c>
    </row>
    <row r="392" spans="1:16" x14ac:dyDescent="0.25">
      <c r="A392" s="4">
        <v>391</v>
      </c>
      <c r="B392" s="5">
        <v>45883</v>
      </c>
      <c r="C392" s="4" t="s">
        <v>12</v>
      </c>
      <c r="D392" s="4" t="s">
        <v>13</v>
      </c>
      <c r="E392" s="4" t="s">
        <v>431</v>
      </c>
      <c r="F392" s="4" t="s">
        <v>32</v>
      </c>
      <c r="G392" s="4" t="s">
        <v>29</v>
      </c>
      <c r="H392" s="4">
        <v>5</v>
      </c>
      <c r="I392" s="6">
        <v>7000</v>
      </c>
      <c r="J392" s="6">
        <v>35000</v>
      </c>
      <c r="K392" t="str" cm="1">
        <f t="array" ref="K392">_xlfn.IFS(J392&lt;30000,"Low Value",J392&lt;=100000,"Medium Value",J392&gt;100000,"High Value")</f>
        <v>Medium Value</v>
      </c>
      <c r="L392" s="4" t="s">
        <v>23</v>
      </c>
      <c r="M392" s="4" t="s">
        <v>24</v>
      </c>
      <c r="N392" s="4" t="str">
        <f t="shared" si="18"/>
        <v>August</v>
      </c>
      <c r="O392" s="4" t="str">
        <f t="shared" si="19"/>
        <v>Q3</v>
      </c>
      <c r="P392" s="4">
        <f t="shared" si="20"/>
        <v>2025</v>
      </c>
    </row>
    <row r="393" spans="1:16" x14ac:dyDescent="0.25">
      <c r="A393" s="4">
        <v>392</v>
      </c>
      <c r="B393" s="5">
        <v>45785</v>
      </c>
      <c r="C393" s="4" t="s">
        <v>48</v>
      </c>
      <c r="D393" s="4" t="s">
        <v>44</v>
      </c>
      <c r="E393" s="4" t="s">
        <v>432</v>
      </c>
      <c r="F393" s="4" t="s">
        <v>15</v>
      </c>
      <c r="G393" s="4" t="s">
        <v>16</v>
      </c>
      <c r="H393" s="4">
        <v>8</v>
      </c>
      <c r="I393" s="6">
        <v>55000</v>
      </c>
      <c r="J393" s="6">
        <v>440000</v>
      </c>
      <c r="K393" t="str" cm="1">
        <f t="array" ref="K393">_xlfn.IFS(J393&lt;30000,"Low Value",J393&lt;=100000,"Medium Value",J393&gt;100000,"High Value")</f>
        <v>High Value</v>
      </c>
      <c r="L393" s="4" t="s">
        <v>17</v>
      </c>
      <c r="M393" s="4" t="s">
        <v>54</v>
      </c>
      <c r="N393" s="4" t="str">
        <f t="shared" si="18"/>
        <v>May</v>
      </c>
      <c r="O393" s="4" t="str">
        <f t="shared" si="19"/>
        <v>Q2</v>
      </c>
      <c r="P393" s="4">
        <f t="shared" si="20"/>
        <v>2025</v>
      </c>
    </row>
    <row r="394" spans="1:16" x14ac:dyDescent="0.25">
      <c r="A394" s="4">
        <v>393</v>
      </c>
      <c r="B394" s="5">
        <v>45934</v>
      </c>
      <c r="C394" s="4" t="s">
        <v>48</v>
      </c>
      <c r="D394" s="4" t="s">
        <v>13</v>
      </c>
      <c r="E394" s="4" t="s">
        <v>433</v>
      </c>
      <c r="F394" s="4" t="s">
        <v>40</v>
      </c>
      <c r="G394" s="4" t="s">
        <v>16</v>
      </c>
      <c r="H394" s="4">
        <v>3</v>
      </c>
      <c r="I394" s="6">
        <v>500</v>
      </c>
      <c r="J394" s="6">
        <v>1500</v>
      </c>
      <c r="K394" t="str" cm="1">
        <f t="array" ref="K394">_xlfn.IFS(J394&lt;30000,"Low Value",J394&lt;=100000,"Medium Value",J394&gt;100000,"High Value")</f>
        <v>Low Value</v>
      </c>
      <c r="L394" s="4" t="s">
        <v>43</v>
      </c>
      <c r="M394" s="4" t="s">
        <v>24</v>
      </c>
      <c r="N394" s="4" t="str">
        <f t="shared" si="18"/>
        <v>October</v>
      </c>
      <c r="O394" s="4" t="str">
        <f t="shared" si="19"/>
        <v>Q4</v>
      </c>
      <c r="P394" s="4">
        <f t="shared" si="20"/>
        <v>2025</v>
      </c>
    </row>
    <row r="395" spans="1:16" x14ac:dyDescent="0.25">
      <c r="A395" s="4">
        <v>394</v>
      </c>
      <c r="B395" s="5">
        <v>45666</v>
      </c>
      <c r="C395" s="4" t="s">
        <v>34</v>
      </c>
      <c r="D395" s="4" t="s">
        <v>64</v>
      </c>
      <c r="E395" s="4" t="s">
        <v>434</v>
      </c>
      <c r="F395" s="4" t="s">
        <v>47</v>
      </c>
      <c r="G395" s="4" t="s">
        <v>16</v>
      </c>
      <c r="H395" s="4">
        <v>10</v>
      </c>
      <c r="I395" s="6">
        <v>9000</v>
      </c>
      <c r="J395" s="6">
        <v>90000</v>
      </c>
      <c r="K395" t="str" cm="1">
        <f t="array" ref="K395">_xlfn.IFS(J395&lt;30000,"Low Value",J395&lt;=100000,"Medium Value",J395&gt;100000,"High Value")</f>
        <v>Medium Value</v>
      </c>
      <c r="L395" s="4" t="s">
        <v>23</v>
      </c>
      <c r="M395" s="4" t="s">
        <v>24</v>
      </c>
      <c r="N395" s="4" t="str">
        <f t="shared" si="18"/>
        <v>January</v>
      </c>
      <c r="O395" s="4" t="str">
        <f t="shared" si="19"/>
        <v>Q1</v>
      </c>
      <c r="P395" s="4">
        <f t="shared" si="20"/>
        <v>2025</v>
      </c>
    </row>
    <row r="396" spans="1:16" x14ac:dyDescent="0.25">
      <c r="A396" s="4">
        <v>395</v>
      </c>
      <c r="B396" s="5">
        <v>45809</v>
      </c>
      <c r="C396" s="4" t="s">
        <v>25</v>
      </c>
      <c r="D396" s="4" t="s">
        <v>49</v>
      </c>
      <c r="E396" s="4" t="s">
        <v>106</v>
      </c>
      <c r="F396" s="4" t="s">
        <v>15</v>
      </c>
      <c r="G396" s="4" t="s">
        <v>16</v>
      </c>
      <c r="H396" s="4">
        <v>8</v>
      </c>
      <c r="I396" s="6">
        <v>55000</v>
      </c>
      <c r="J396" s="6">
        <v>440000</v>
      </c>
      <c r="K396" t="str" cm="1">
        <f t="array" ref="K396">_xlfn.IFS(J396&lt;30000,"Low Value",J396&lt;=100000,"Medium Value",J396&gt;100000,"High Value")</f>
        <v>High Value</v>
      </c>
      <c r="L396" s="4" t="s">
        <v>23</v>
      </c>
      <c r="M396" s="4" t="s">
        <v>24</v>
      </c>
      <c r="N396" s="4" t="str">
        <f t="shared" si="18"/>
        <v>June</v>
      </c>
      <c r="O396" s="4" t="str">
        <f t="shared" si="19"/>
        <v>Q2</v>
      </c>
      <c r="P396" s="4">
        <f t="shared" si="20"/>
        <v>2025</v>
      </c>
    </row>
    <row r="397" spans="1:16" x14ac:dyDescent="0.25">
      <c r="A397" s="4">
        <v>396</v>
      </c>
      <c r="B397" s="5">
        <v>45812</v>
      </c>
      <c r="C397" s="4" t="s">
        <v>19</v>
      </c>
      <c r="D397" s="4" t="s">
        <v>41</v>
      </c>
      <c r="E397" s="4" t="s">
        <v>435</v>
      </c>
      <c r="F397" s="4" t="s">
        <v>40</v>
      </c>
      <c r="G397" s="4" t="s">
        <v>16</v>
      </c>
      <c r="H397" s="4">
        <v>4</v>
      </c>
      <c r="I397" s="6">
        <v>500</v>
      </c>
      <c r="J397" s="6">
        <v>2000</v>
      </c>
      <c r="K397" t="str" cm="1">
        <f t="array" ref="K397">_xlfn.IFS(J397&lt;30000,"Low Value",J397&lt;=100000,"Medium Value",J397&gt;100000,"High Value")</f>
        <v>Low Value</v>
      </c>
      <c r="L397" s="4" t="s">
        <v>23</v>
      </c>
      <c r="M397" s="4" t="s">
        <v>24</v>
      </c>
      <c r="N397" s="4" t="str">
        <f t="shared" si="18"/>
        <v>June</v>
      </c>
      <c r="O397" s="4" t="str">
        <f t="shared" si="19"/>
        <v>Q2</v>
      </c>
      <c r="P397" s="4">
        <f t="shared" si="20"/>
        <v>2025</v>
      </c>
    </row>
    <row r="398" spans="1:16" x14ac:dyDescent="0.25">
      <c r="A398" s="4">
        <v>397</v>
      </c>
      <c r="B398" s="5">
        <v>45843</v>
      </c>
      <c r="C398" s="4" t="s">
        <v>34</v>
      </c>
      <c r="D398" s="4" t="s">
        <v>52</v>
      </c>
      <c r="E398" s="4" t="s">
        <v>436</v>
      </c>
      <c r="F398" s="4" t="s">
        <v>22</v>
      </c>
      <c r="G398" s="4" t="s">
        <v>16</v>
      </c>
      <c r="H398" s="4">
        <v>8</v>
      </c>
      <c r="I398" s="6">
        <v>1200</v>
      </c>
      <c r="J398" s="6">
        <v>9600</v>
      </c>
      <c r="K398" t="str" cm="1">
        <f t="array" ref="K398">_xlfn.IFS(J398&lt;30000,"Low Value",J398&lt;=100000,"Medium Value",J398&gt;100000,"High Value")</f>
        <v>Low Value</v>
      </c>
      <c r="L398" s="4" t="s">
        <v>33</v>
      </c>
      <c r="M398" s="4" t="s">
        <v>54</v>
      </c>
      <c r="N398" s="4" t="str">
        <f t="shared" si="18"/>
        <v>July</v>
      </c>
      <c r="O398" s="4" t="str">
        <f t="shared" si="19"/>
        <v>Q3</v>
      </c>
      <c r="P398" s="4">
        <f t="shared" si="20"/>
        <v>2025</v>
      </c>
    </row>
    <row r="399" spans="1:16" x14ac:dyDescent="0.25">
      <c r="A399" s="4">
        <v>398</v>
      </c>
      <c r="B399" s="5">
        <v>46005</v>
      </c>
      <c r="C399" s="4" t="s">
        <v>12</v>
      </c>
      <c r="D399" s="4" t="s">
        <v>52</v>
      </c>
      <c r="E399" s="4" t="s">
        <v>437</v>
      </c>
      <c r="F399" s="4" t="s">
        <v>47</v>
      </c>
      <c r="G399" s="4" t="s">
        <v>16</v>
      </c>
      <c r="H399" s="4">
        <v>6</v>
      </c>
      <c r="I399" s="6">
        <v>9000</v>
      </c>
      <c r="J399" s="6">
        <v>54000</v>
      </c>
      <c r="K399" t="str" cm="1">
        <f t="array" ref="K399">_xlfn.IFS(J399&lt;30000,"Low Value",J399&lt;=100000,"Medium Value",J399&gt;100000,"High Value")</f>
        <v>Medium Value</v>
      </c>
      <c r="L399" s="4" t="s">
        <v>23</v>
      </c>
      <c r="M399" s="4" t="s">
        <v>24</v>
      </c>
      <c r="N399" s="4" t="str">
        <f t="shared" si="18"/>
        <v>December</v>
      </c>
      <c r="O399" s="4" t="str">
        <f t="shared" si="19"/>
        <v>Q4</v>
      </c>
      <c r="P399" s="4">
        <f t="shared" si="20"/>
        <v>2025</v>
      </c>
    </row>
    <row r="400" spans="1:16" x14ac:dyDescent="0.25">
      <c r="A400" s="4">
        <v>399</v>
      </c>
      <c r="B400" s="5">
        <v>45819</v>
      </c>
      <c r="C400" s="4" t="s">
        <v>25</v>
      </c>
      <c r="D400" s="4" t="s">
        <v>49</v>
      </c>
      <c r="E400" s="4" t="s">
        <v>438</v>
      </c>
      <c r="F400" s="4" t="s">
        <v>32</v>
      </c>
      <c r="G400" s="4" t="s">
        <v>29</v>
      </c>
      <c r="H400" s="4">
        <v>6</v>
      </c>
      <c r="I400" s="6">
        <v>7000</v>
      </c>
      <c r="J400" s="6">
        <v>42000</v>
      </c>
      <c r="K400" t="str" cm="1">
        <f t="array" ref="K400">_xlfn.IFS(J400&lt;30000,"Low Value",J400&lt;=100000,"Medium Value",J400&gt;100000,"High Value")</f>
        <v>Medium Value</v>
      </c>
      <c r="L400" s="4" t="s">
        <v>43</v>
      </c>
      <c r="M400" s="4" t="s">
        <v>24</v>
      </c>
      <c r="N400" s="4" t="str">
        <f t="shared" si="18"/>
        <v>June</v>
      </c>
      <c r="O400" s="4" t="str">
        <f t="shared" si="19"/>
        <v>Q2</v>
      </c>
      <c r="P400" s="4">
        <f t="shared" si="20"/>
        <v>2025</v>
      </c>
    </row>
    <row r="401" spans="1:16" x14ac:dyDescent="0.25">
      <c r="A401" s="4">
        <v>400</v>
      </c>
      <c r="B401" s="5">
        <v>45932</v>
      </c>
      <c r="C401" s="4" t="s">
        <v>48</v>
      </c>
      <c r="D401" s="4" t="s">
        <v>92</v>
      </c>
      <c r="E401" s="4" t="s">
        <v>439</v>
      </c>
      <c r="F401" s="4" t="s">
        <v>40</v>
      </c>
      <c r="G401" s="4" t="s">
        <v>16</v>
      </c>
      <c r="H401" s="4">
        <v>8</v>
      </c>
      <c r="I401" s="6">
        <v>500</v>
      </c>
      <c r="J401" s="6">
        <v>4000</v>
      </c>
      <c r="K401" t="str" cm="1">
        <f t="array" ref="K401">_xlfn.IFS(J401&lt;30000,"Low Value",J401&lt;=100000,"Medium Value",J401&gt;100000,"High Value")</f>
        <v>Low Value</v>
      </c>
      <c r="L401" s="4" t="s">
        <v>17</v>
      </c>
      <c r="M401" s="4" t="s">
        <v>24</v>
      </c>
      <c r="N401" s="4" t="str">
        <f t="shared" si="18"/>
        <v>October</v>
      </c>
      <c r="O401" s="4" t="str">
        <f t="shared" si="19"/>
        <v>Q4</v>
      </c>
      <c r="P401" s="4">
        <f t="shared" si="20"/>
        <v>2025</v>
      </c>
    </row>
    <row r="402" spans="1:16" x14ac:dyDescent="0.25">
      <c r="A402" s="4">
        <v>401</v>
      </c>
      <c r="B402" s="5">
        <v>46022</v>
      </c>
      <c r="C402" s="4" t="s">
        <v>25</v>
      </c>
      <c r="D402" s="4" t="s">
        <v>41</v>
      </c>
      <c r="E402" s="4" t="s">
        <v>440</v>
      </c>
      <c r="F402" s="4" t="s">
        <v>15</v>
      </c>
      <c r="G402" s="4" t="s">
        <v>16</v>
      </c>
      <c r="H402" s="4">
        <v>3</v>
      </c>
      <c r="I402" s="6">
        <v>55000</v>
      </c>
      <c r="J402" s="6">
        <v>165000</v>
      </c>
      <c r="K402" t="str" cm="1">
        <f t="array" ref="K402">_xlfn.IFS(J402&lt;30000,"Low Value",J402&lt;=100000,"Medium Value",J402&gt;100000,"High Value")</f>
        <v>High Value</v>
      </c>
      <c r="L402" s="4" t="s">
        <v>17</v>
      </c>
      <c r="M402" s="4" t="s">
        <v>24</v>
      </c>
      <c r="N402" s="4" t="str">
        <f t="shared" si="18"/>
        <v>December</v>
      </c>
      <c r="O402" s="4" t="str">
        <f t="shared" si="19"/>
        <v>Q4</v>
      </c>
      <c r="P402" s="4">
        <f t="shared" si="20"/>
        <v>2025</v>
      </c>
    </row>
    <row r="403" spans="1:16" x14ac:dyDescent="0.25">
      <c r="A403" s="4">
        <v>402</v>
      </c>
      <c r="B403" s="5">
        <v>45984</v>
      </c>
      <c r="C403" s="4" t="s">
        <v>48</v>
      </c>
      <c r="D403" s="4" t="s">
        <v>26</v>
      </c>
      <c r="E403" s="4" t="s">
        <v>441</v>
      </c>
      <c r="F403" s="4" t="s">
        <v>15</v>
      </c>
      <c r="G403" s="4" t="s">
        <v>16</v>
      </c>
      <c r="H403" s="4">
        <v>3</v>
      </c>
      <c r="I403" s="6">
        <v>55000</v>
      </c>
      <c r="J403" s="6">
        <v>165000</v>
      </c>
      <c r="K403" t="str" cm="1">
        <f t="array" ref="K403">_xlfn.IFS(J403&lt;30000,"Low Value",J403&lt;=100000,"Medium Value",J403&gt;100000,"High Value")</f>
        <v>High Value</v>
      </c>
      <c r="L403" s="4" t="s">
        <v>23</v>
      </c>
      <c r="M403" s="4" t="s">
        <v>24</v>
      </c>
      <c r="N403" s="4" t="str">
        <f t="shared" si="18"/>
        <v>November</v>
      </c>
      <c r="O403" s="4" t="str">
        <f t="shared" si="19"/>
        <v>Q4</v>
      </c>
      <c r="P403" s="4">
        <f t="shared" si="20"/>
        <v>2025</v>
      </c>
    </row>
    <row r="404" spans="1:16" x14ac:dyDescent="0.25">
      <c r="A404" s="4">
        <v>403</v>
      </c>
      <c r="B404" s="5">
        <v>45975</v>
      </c>
      <c r="C404" s="4" t="s">
        <v>25</v>
      </c>
      <c r="D404" s="4" t="s">
        <v>41</v>
      </c>
      <c r="E404" s="4" t="s">
        <v>442</v>
      </c>
      <c r="F404" s="4" t="s">
        <v>32</v>
      </c>
      <c r="G404" s="4" t="s">
        <v>29</v>
      </c>
      <c r="H404" s="4">
        <v>7</v>
      </c>
      <c r="I404" s="6">
        <v>7000</v>
      </c>
      <c r="J404" s="6">
        <v>49000</v>
      </c>
      <c r="K404" t="str" cm="1">
        <f t="array" ref="K404">_xlfn.IFS(J404&lt;30000,"Low Value",J404&lt;=100000,"Medium Value",J404&gt;100000,"High Value")</f>
        <v>Medium Value</v>
      </c>
      <c r="L404" s="4" t="s">
        <v>43</v>
      </c>
      <c r="M404" s="4" t="s">
        <v>54</v>
      </c>
      <c r="N404" s="4" t="str">
        <f t="shared" si="18"/>
        <v>November</v>
      </c>
      <c r="O404" s="4" t="str">
        <f t="shared" si="19"/>
        <v>Q4</v>
      </c>
      <c r="P404" s="4">
        <f t="shared" si="20"/>
        <v>2025</v>
      </c>
    </row>
    <row r="405" spans="1:16" x14ac:dyDescent="0.25">
      <c r="A405" s="4">
        <v>404</v>
      </c>
      <c r="B405" s="5">
        <v>45962</v>
      </c>
      <c r="C405" s="4" t="s">
        <v>48</v>
      </c>
      <c r="D405" s="4" t="s">
        <v>71</v>
      </c>
      <c r="E405" s="4" t="s">
        <v>443</v>
      </c>
      <c r="F405" s="4" t="s">
        <v>32</v>
      </c>
      <c r="G405" s="4" t="s">
        <v>29</v>
      </c>
      <c r="H405" s="4">
        <v>5</v>
      </c>
      <c r="I405" s="6">
        <v>7000</v>
      </c>
      <c r="J405" s="6">
        <v>35000</v>
      </c>
      <c r="K405" t="str" cm="1">
        <f t="array" ref="K405">_xlfn.IFS(J405&lt;30000,"Low Value",J405&lt;=100000,"Medium Value",J405&gt;100000,"High Value")</f>
        <v>Medium Value</v>
      </c>
      <c r="L405" s="4" t="s">
        <v>43</v>
      </c>
      <c r="M405" s="4" t="s">
        <v>24</v>
      </c>
      <c r="N405" s="4" t="str">
        <f t="shared" si="18"/>
        <v>November</v>
      </c>
      <c r="O405" s="4" t="str">
        <f t="shared" si="19"/>
        <v>Q4</v>
      </c>
      <c r="P405" s="4">
        <f t="shared" si="20"/>
        <v>2025</v>
      </c>
    </row>
    <row r="406" spans="1:16" x14ac:dyDescent="0.25">
      <c r="A406" s="4">
        <v>405</v>
      </c>
      <c r="B406" s="5">
        <v>45934</v>
      </c>
      <c r="C406" s="4" t="s">
        <v>25</v>
      </c>
      <c r="D406" s="4" t="s">
        <v>49</v>
      </c>
      <c r="E406" s="4" t="s">
        <v>444</v>
      </c>
      <c r="F406" s="4" t="s">
        <v>15</v>
      </c>
      <c r="G406" s="4" t="s">
        <v>16</v>
      </c>
      <c r="H406" s="4">
        <v>9</v>
      </c>
      <c r="I406" s="6">
        <v>55000</v>
      </c>
      <c r="J406" s="6">
        <v>495000</v>
      </c>
      <c r="K406" t="str" cm="1">
        <f t="array" ref="K406">_xlfn.IFS(J406&lt;30000,"Low Value",J406&lt;=100000,"Medium Value",J406&gt;100000,"High Value")</f>
        <v>High Value</v>
      </c>
      <c r="L406" s="4" t="s">
        <v>17</v>
      </c>
      <c r="M406" s="4" t="s">
        <v>24</v>
      </c>
      <c r="N406" s="4" t="str">
        <f t="shared" si="18"/>
        <v>October</v>
      </c>
      <c r="O406" s="4" t="str">
        <f t="shared" si="19"/>
        <v>Q4</v>
      </c>
      <c r="P406" s="4">
        <f t="shared" si="20"/>
        <v>2025</v>
      </c>
    </row>
    <row r="407" spans="1:16" x14ac:dyDescent="0.25">
      <c r="A407" s="4">
        <v>406</v>
      </c>
      <c r="B407" s="5">
        <v>45938</v>
      </c>
      <c r="C407" s="4" t="s">
        <v>12</v>
      </c>
      <c r="D407" s="4" t="s">
        <v>59</v>
      </c>
      <c r="E407" s="4" t="s">
        <v>445</v>
      </c>
      <c r="F407" s="4" t="s">
        <v>22</v>
      </c>
      <c r="G407" s="4" t="s">
        <v>16</v>
      </c>
      <c r="H407" s="4">
        <v>2</v>
      </c>
      <c r="I407" s="6">
        <v>1200</v>
      </c>
      <c r="J407" s="6">
        <v>2400</v>
      </c>
      <c r="K407" t="str" cm="1">
        <f t="array" ref="K407">_xlfn.IFS(J407&lt;30000,"Low Value",J407&lt;=100000,"Medium Value",J407&gt;100000,"High Value")</f>
        <v>Low Value</v>
      </c>
      <c r="L407" s="4" t="s">
        <v>23</v>
      </c>
      <c r="M407" s="4" t="s">
        <v>24</v>
      </c>
      <c r="N407" s="4" t="str">
        <f t="shared" si="18"/>
        <v>October</v>
      </c>
      <c r="O407" s="4" t="str">
        <f t="shared" si="19"/>
        <v>Q4</v>
      </c>
      <c r="P407" s="4">
        <f t="shared" si="20"/>
        <v>2025</v>
      </c>
    </row>
    <row r="408" spans="1:16" x14ac:dyDescent="0.25">
      <c r="A408" s="4">
        <v>407</v>
      </c>
      <c r="B408" s="5">
        <v>45756</v>
      </c>
      <c r="C408" s="4" t="s">
        <v>19</v>
      </c>
      <c r="D408" s="4" t="s">
        <v>30</v>
      </c>
      <c r="E408" s="4" t="s">
        <v>446</v>
      </c>
      <c r="F408" s="4" t="s">
        <v>47</v>
      </c>
      <c r="G408" s="4" t="s">
        <v>16</v>
      </c>
      <c r="H408" s="4">
        <v>1</v>
      </c>
      <c r="I408" s="6">
        <v>9000</v>
      </c>
      <c r="J408" s="6">
        <v>9000</v>
      </c>
      <c r="K408" t="str" cm="1">
        <f t="array" ref="K408">_xlfn.IFS(J408&lt;30000,"Low Value",J408&lt;=100000,"Medium Value",J408&gt;100000,"High Value")</f>
        <v>Low Value</v>
      </c>
      <c r="L408" s="4" t="s">
        <v>23</v>
      </c>
      <c r="M408" s="4" t="s">
        <v>24</v>
      </c>
      <c r="N408" s="4" t="str">
        <f t="shared" si="18"/>
        <v>April</v>
      </c>
      <c r="O408" s="4" t="str">
        <f t="shared" si="19"/>
        <v>Q2</v>
      </c>
      <c r="P408" s="4">
        <f t="shared" si="20"/>
        <v>2025</v>
      </c>
    </row>
    <row r="409" spans="1:16" x14ac:dyDescent="0.25">
      <c r="A409" s="4">
        <v>408</v>
      </c>
      <c r="B409" s="5">
        <v>45778</v>
      </c>
      <c r="C409" s="4" t="s">
        <v>12</v>
      </c>
      <c r="D409" s="4" t="s">
        <v>85</v>
      </c>
      <c r="E409" s="4" t="s">
        <v>447</v>
      </c>
      <c r="F409" s="4" t="s">
        <v>22</v>
      </c>
      <c r="G409" s="4" t="s">
        <v>16</v>
      </c>
      <c r="H409" s="4">
        <v>4</v>
      </c>
      <c r="I409" s="6">
        <v>1200</v>
      </c>
      <c r="J409" s="6">
        <v>4800</v>
      </c>
      <c r="K409" t="str" cm="1">
        <f t="array" ref="K409">_xlfn.IFS(J409&lt;30000,"Low Value",J409&lt;=100000,"Medium Value",J409&gt;100000,"High Value")</f>
        <v>Low Value</v>
      </c>
      <c r="L409" s="4" t="s">
        <v>43</v>
      </c>
      <c r="M409" s="4" t="s">
        <v>24</v>
      </c>
      <c r="N409" s="4" t="str">
        <f t="shared" si="18"/>
        <v>May</v>
      </c>
      <c r="O409" s="4" t="str">
        <f t="shared" si="19"/>
        <v>Q2</v>
      </c>
      <c r="P409" s="4">
        <f t="shared" si="20"/>
        <v>2025</v>
      </c>
    </row>
    <row r="410" spans="1:16" x14ac:dyDescent="0.25">
      <c r="A410" s="4">
        <v>409</v>
      </c>
      <c r="B410" s="5">
        <v>45807</v>
      </c>
      <c r="C410" s="4" t="s">
        <v>25</v>
      </c>
      <c r="D410" s="4" t="s">
        <v>13</v>
      </c>
      <c r="E410" s="4" t="s">
        <v>448</v>
      </c>
      <c r="F410" s="4" t="s">
        <v>32</v>
      </c>
      <c r="G410" s="4" t="s">
        <v>29</v>
      </c>
      <c r="H410" s="4">
        <v>7</v>
      </c>
      <c r="I410" s="6">
        <v>7000</v>
      </c>
      <c r="J410" s="6">
        <v>49000</v>
      </c>
      <c r="K410" t="str" cm="1">
        <f t="array" ref="K410">_xlfn.IFS(J410&lt;30000,"Low Value",J410&lt;=100000,"Medium Value",J410&gt;100000,"High Value")</f>
        <v>Medium Value</v>
      </c>
      <c r="L410" s="4" t="s">
        <v>23</v>
      </c>
      <c r="M410" s="4" t="s">
        <v>24</v>
      </c>
      <c r="N410" s="4" t="str">
        <f t="shared" si="18"/>
        <v>May</v>
      </c>
      <c r="O410" s="4" t="str">
        <f t="shared" si="19"/>
        <v>Q2</v>
      </c>
      <c r="P410" s="4">
        <f t="shared" si="20"/>
        <v>2025</v>
      </c>
    </row>
    <row r="411" spans="1:16" x14ac:dyDescent="0.25">
      <c r="A411" s="4">
        <v>410</v>
      </c>
      <c r="B411" s="5">
        <v>45941</v>
      </c>
      <c r="C411" s="4" t="s">
        <v>48</v>
      </c>
      <c r="D411" s="4" t="s">
        <v>52</v>
      </c>
      <c r="E411" s="4" t="s">
        <v>449</v>
      </c>
      <c r="F411" s="4" t="s">
        <v>40</v>
      </c>
      <c r="G411" s="4" t="s">
        <v>16</v>
      </c>
      <c r="H411" s="4">
        <v>9</v>
      </c>
      <c r="I411" s="6">
        <v>500</v>
      </c>
      <c r="J411" s="6">
        <v>4500</v>
      </c>
      <c r="K411" t="str" cm="1">
        <f t="array" ref="K411">_xlfn.IFS(J411&lt;30000,"Low Value",J411&lt;=100000,"Medium Value",J411&gt;100000,"High Value")</f>
        <v>Low Value</v>
      </c>
      <c r="L411" s="4" t="s">
        <v>33</v>
      </c>
      <c r="M411" s="4" t="s">
        <v>24</v>
      </c>
      <c r="N411" s="4" t="str">
        <f t="shared" si="18"/>
        <v>October</v>
      </c>
      <c r="O411" s="4" t="str">
        <f t="shared" si="19"/>
        <v>Q4</v>
      </c>
      <c r="P411" s="4">
        <f t="shared" si="20"/>
        <v>2025</v>
      </c>
    </row>
    <row r="412" spans="1:16" x14ac:dyDescent="0.25">
      <c r="A412" s="4">
        <v>411</v>
      </c>
      <c r="B412" s="5">
        <v>45668</v>
      </c>
      <c r="C412" s="4" t="s">
        <v>48</v>
      </c>
      <c r="D412" s="4" t="s">
        <v>121</v>
      </c>
      <c r="E412" s="4" t="s">
        <v>450</v>
      </c>
      <c r="F412" s="4" t="s">
        <v>47</v>
      </c>
      <c r="G412" s="4" t="s">
        <v>16</v>
      </c>
      <c r="H412" s="4">
        <v>10</v>
      </c>
      <c r="I412" s="6">
        <v>9000</v>
      </c>
      <c r="J412" s="6">
        <v>90000</v>
      </c>
      <c r="K412" t="str" cm="1">
        <f t="array" ref="K412">_xlfn.IFS(J412&lt;30000,"Low Value",J412&lt;=100000,"Medium Value",J412&gt;100000,"High Value")</f>
        <v>Medium Value</v>
      </c>
      <c r="L412" s="4" t="s">
        <v>33</v>
      </c>
      <c r="M412" s="4" t="s">
        <v>24</v>
      </c>
      <c r="N412" s="4" t="str">
        <f t="shared" si="18"/>
        <v>January</v>
      </c>
      <c r="O412" s="4" t="str">
        <f t="shared" si="19"/>
        <v>Q1</v>
      </c>
      <c r="P412" s="4">
        <f t="shared" si="20"/>
        <v>2025</v>
      </c>
    </row>
    <row r="413" spans="1:16" x14ac:dyDescent="0.25">
      <c r="A413" s="4">
        <v>412</v>
      </c>
      <c r="B413" s="5">
        <v>45942</v>
      </c>
      <c r="C413" s="4" t="s">
        <v>34</v>
      </c>
      <c r="D413" s="4" t="s">
        <v>20</v>
      </c>
      <c r="E413" s="4" t="s">
        <v>451</v>
      </c>
      <c r="F413" s="4" t="s">
        <v>40</v>
      </c>
      <c r="G413" s="4" t="s">
        <v>16</v>
      </c>
      <c r="H413" s="4">
        <v>1</v>
      </c>
      <c r="I413" s="6">
        <v>500</v>
      </c>
      <c r="J413" s="6">
        <v>500</v>
      </c>
      <c r="K413" t="str" cm="1">
        <f t="array" ref="K413">_xlfn.IFS(J413&lt;30000,"Low Value",J413&lt;=100000,"Medium Value",J413&gt;100000,"High Value")</f>
        <v>Low Value</v>
      </c>
      <c r="L413" s="4" t="s">
        <v>23</v>
      </c>
      <c r="M413" s="4" t="s">
        <v>18</v>
      </c>
      <c r="N413" s="4" t="str">
        <f t="shared" si="18"/>
        <v>October</v>
      </c>
      <c r="O413" s="4" t="str">
        <f t="shared" si="19"/>
        <v>Q4</v>
      </c>
      <c r="P413" s="4">
        <f t="shared" si="20"/>
        <v>2025</v>
      </c>
    </row>
    <row r="414" spans="1:16" x14ac:dyDescent="0.25">
      <c r="A414" s="4">
        <v>413</v>
      </c>
      <c r="B414" s="5">
        <v>45700</v>
      </c>
      <c r="C414" s="4" t="s">
        <v>12</v>
      </c>
      <c r="D414" s="4" t="s">
        <v>92</v>
      </c>
      <c r="E414" s="4" t="s">
        <v>452</v>
      </c>
      <c r="F414" s="4" t="s">
        <v>28</v>
      </c>
      <c r="G414" s="4" t="s">
        <v>29</v>
      </c>
      <c r="H414" s="4">
        <v>7</v>
      </c>
      <c r="I414" s="6">
        <v>3500</v>
      </c>
      <c r="J414" s="6">
        <v>24500</v>
      </c>
      <c r="K414" t="str" cm="1">
        <f t="array" ref="K414">_xlfn.IFS(J414&lt;30000,"Low Value",J414&lt;=100000,"Medium Value",J414&gt;100000,"High Value")</f>
        <v>Low Value</v>
      </c>
      <c r="L414" s="4" t="s">
        <v>17</v>
      </c>
      <c r="M414" s="4" t="s">
        <v>24</v>
      </c>
      <c r="N414" s="4" t="str">
        <f t="shared" si="18"/>
        <v>February</v>
      </c>
      <c r="O414" s="4" t="str">
        <f t="shared" si="19"/>
        <v>Q1</v>
      </c>
      <c r="P414" s="4">
        <f t="shared" si="20"/>
        <v>2025</v>
      </c>
    </row>
    <row r="415" spans="1:16" x14ac:dyDescent="0.25">
      <c r="A415" s="4">
        <v>414</v>
      </c>
      <c r="B415" s="5">
        <v>45659</v>
      </c>
      <c r="C415" s="4" t="s">
        <v>48</v>
      </c>
      <c r="D415" s="4" t="s">
        <v>36</v>
      </c>
      <c r="E415" s="4" t="s">
        <v>453</v>
      </c>
      <c r="F415" s="4" t="s">
        <v>32</v>
      </c>
      <c r="G415" s="4" t="s">
        <v>29</v>
      </c>
      <c r="H415" s="4">
        <v>3</v>
      </c>
      <c r="I415" s="6">
        <v>7000</v>
      </c>
      <c r="J415" s="6">
        <v>21000</v>
      </c>
      <c r="K415" t="str" cm="1">
        <f t="array" ref="K415">_xlfn.IFS(J415&lt;30000,"Low Value",J415&lt;=100000,"Medium Value",J415&gt;100000,"High Value")</f>
        <v>Low Value</v>
      </c>
      <c r="L415" s="4" t="s">
        <v>23</v>
      </c>
      <c r="M415" s="4" t="s">
        <v>24</v>
      </c>
      <c r="N415" s="4" t="str">
        <f t="shared" si="18"/>
        <v>January</v>
      </c>
      <c r="O415" s="4" t="str">
        <f t="shared" si="19"/>
        <v>Q1</v>
      </c>
      <c r="P415" s="4">
        <f t="shared" si="20"/>
        <v>2025</v>
      </c>
    </row>
    <row r="416" spans="1:16" x14ac:dyDescent="0.25">
      <c r="A416" s="4">
        <v>415</v>
      </c>
      <c r="B416" s="5">
        <v>45825</v>
      </c>
      <c r="C416" s="4" t="s">
        <v>34</v>
      </c>
      <c r="D416" s="4" t="s">
        <v>36</v>
      </c>
      <c r="E416" s="4" t="s">
        <v>454</v>
      </c>
      <c r="F416" s="4" t="s">
        <v>32</v>
      </c>
      <c r="G416" s="4" t="s">
        <v>29</v>
      </c>
      <c r="H416" s="4">
        <v>4</v>
      </c>
      <c r="I416" s="6">
        <v>7000</v>
      </c>
      <c r="J416" s="6">
        <v>28000</v>
      </c>
      <c r="K416" t="str" cm="1">
        <f t="array" ref="K416">_xlfn.IFS(J416&lt;30000,"Low Value",J416&lt;=100000,"Medium Value",J416&gt;100000,"High Value")</f>
        <v>Low Value</v>
      </c>
      <c r="L416" s="4" t="s">
        <v>17</v>
      </c>
      <c r="M416" s="4" t="s">
        <v>24</v>
      </c>
      <c r="N416" s="4" t="str">
        <f t="shared" si="18"/>
        <v>June</v>
      </c>
      <c r="O416" s="4" t="str">
        <f t="shared" si="19"/>
        <v>Q2</v>
      </c>
      <c r="P416" s="4">
        <f t="shared" si="20"/>
        <v>2025</v>
      </c>
    </row>
    <row r="417" spans="1:16" x14ac:dyDescent="0.25">
      <c r="A417" s="4">
        <v>416</v>
      </c>
      <c r="B417" s="5">
        <v>45747</v>
      </c>
      <c r="C417" s="4" t="s">
        <v>25</v>
      </c>
      <c r="D417" s="4" t="s">
        <v>38</v>
      </c>
      <c r="E417" s="4" t="s">
        <v>455</v>
      </c>
      <c r="F417" s="4" t="s">
        <v>15</v>
      </c>
      <c r="G417" s="4" t="s">
        <v>16</v>
      </c>
      <c r="H417" s="4">
        <v>5</v>
      </c>
      <c r="I417" s="6">
        <v>55000</v>
      </c>
      <c r="J417" s="6">
        <v>275000</v>
      </c>
      <c r="K417" t="str" cm="1">
        <f t="array" ref="K417">_xlfn.IFS(J417&lt;30000,"Low Value",J417&lt;=100000,"Medium Value",J417&gt;100000,"High Value")</f>
        <v>High Value</v>
      </c>
      <c r="L417" s="4" t="s">
        <v>23</v>
      </c>
      <c r="M417" s="4" t="s">
        <v>24</v>
      </c>
      <c r="N417" s="4" t="str">
        <f t="shared" si="18"/>
        <v>March</v>
      </c>
      <c r="O417" s="4" t="str">
        <f t="shared" si="19"/>
        <v>Q1</v>
      </c>
      <c r="P417" s="4">
        <f t="shared" si="20"/>
        <v>2025</v>
      </c>
    </row>
    <row r="418" spans="1:16" x14ac:dyDescent="0.25">
      <c r="A418" s="4">
        <v>417</v>
      </c>
      <c r="B418" s="5">
        <v>46003</v>
      </c>
      <c r="C418" s="4" t="s">
        <v>34</v>
      </c>
      <c r="D418" s="4" t="s">
        <v>41</v>
      </c>
      <c r="E418" s="4" t="s">
        <v>456</v>
      </c>
      <c r="F418" s="4" t="s">
        <v>32</v>
      </c>
      <c r="G418" s="4" t="s">
        <v>29</v>
      </c>
      <c r="H418" s="4">
        <v>5</v>
      </c>
      <c r="I418" s="6">
        <v>7000</v>
      </c>
      <c r="J418" s="6">
        <v>35000</v>
      </c>
      <c r="K418" t="str" cm="1">
        <f t="array" ref="K418">_xlfn.IFS(J418&lt;30000,"Low Value",J418&lt;=100000,"Medium Value",J418&gt;100000,"High Value")</f>
        <v>Medium Value</v>
      </c>
      <c r="L418" s="4" t="s">
        <v>17</v>
      </c>
      <c r="M418" s="4" t="s">
        <v>24</v>
      </c>
      <c r="N418" s="4" t="str">
        <f t="shared" si="18"/>
        <v>December</v>
      </c>
      <c r="O418" s="4" t="str">
        <f t="shared" si="19"/>
        <v>Q4</v>
      </c>
      <c r="P418" s="4">
        <f t="shared" si="20"/>
        <v>2025</v>
      </c>
    </row>
    <row r="419" spans="1:16" x14ac:dyDescent="0.25">
      <c r="A419" s="4">
        <v>418</v>
      </c>
      <c r="B419" s="5">
        <v>45992</v>
      </c>
      <c r="C419" s="4" t="s">
        <v>19</v>
      </c>
      <c r="D419" s="4" t="s">
        <v>13</v>
      </c>
      <c r="E419" s="4" t="s">
        <v>457</v>
      </c>
      <c r="F419" s="4" t="s">
        <v>22</v>
      </c>
      <c r="G419" s="4" t="s">
        <v>16</v>
      </c>
      <c r="H419" s="4">
        <v>8</v>
      </c>
      <c r="I419" s="6">
        <v>1200</v>
      </c>
      <c r="J419" s="6">
        <v>9600</v>
      </c>
      <c r="K419" t="str" cm="1">
        <f t="array" ref="K419">_xlfn.IFS(J419&lt;30000,"Low Value",J419&lt;=100000,"Medium Value",J419&gt;100000,"High Value")</f>
        <v>Low Value</v>
      </c>
      <c r="L419" s="4" t="s">
        <v>43</v>
      </c>
      <c r="M419" s="4" t="s">
        <v>24</v>
      </c>
      <c r="N419" s="4" t="str">
        <f t="shared" si="18"/>
        <v>December</v>
      </c>
      <c r="O419" s="4" t="str">
        <f t="shared" si="19"/>
        <v>Q4</v>
      </c>
      <c r="P419" s="4">
        <f t="shared" si="20"/>
        <v>2025</v>
      </c>
    </row>
    <row r="420" spans="1:16" x14ac:dyDescent="0.25">
      <c r="A420" s="4">
        <v>419</v>
      </c>
      <c r="B420" s="5">
        <v>45982</v>
      </c>
      <c r="C420" s="4" t="s">
        <v>12</v>
      </c>
      <c r="D420" s="4" t="s">
        <v>85</v>
      </c>
      <c r="E420" s="4" t="s">
        <v>424</v>
      </c>
      <c r="F420" s="4" t="s">
        <v>22</v>
      </c>
      <c r="G420" s="4" t="s">
        <v>16</v>
      </c>
      <c r="H420" s="4">
        <v>2</v>
      </c>
      <c r="I420" s="6">
        <v>1200</v>
      </c>
      <c r="J420" s="6">
        <v>2400</v>
      </c>
      <c r="K420" t="str" cm="1">
        <f t="array" ref="K420">_xlfn.IFS(J420&lt;30000,"Low Value",J420&lt;=100000,"Medium Value",J420&gt;100000,"High Value")</f>
        <v>Low Value</v>
      </c>
      <c r="L420" s="4" t="s">
        <v>23</v>
      </c>
      <c r="M420" s="4" t="s">
        <v>24</v>
      </c>
      <c r="N420" s="4" t="str">
        <f t="shared" si="18"/>
        <v>November</v>
      </c>
      <c r="O420" s="4" t="str">
        <f t="shared" si="19"/>
        <v>Q4</v>
      </c>
      <c r="P420" s="4">
        <f t="shared" si="20"/>
        <v>2025</v>
      </c>
    </row>
    <row r="421" spans="1:16" x14ac:dyDescent="0.25">
      <c r="A421" s="4">
        <v>420</v>
      </c>
      <c r="B421" s="5">
        <v>45882</v>
      </c>
      <c r="C421" s="4" t="s">
        <v>34</v>
      </c>
      <c r="D421" s="4" t="s">
        <v>92</v>
      </c>
      <c r="E421" s="4" t="s">
        <v>458</v>
      </c>
      <c r="F421" s="4" t="s">
        <v>32</v>
      </c>
      <c r="G421" s="4" t="s">
        <v>29</v>
      </c>
      <c r="H421" s="4">
        <v>3</v>
      </c>
      <c r="I421" s="6">
        <v>7000</v>
      </c>
      <c r="J421" s="6">
        <v>21000</v>
      </c>
      <c r="K421" t="str" cm="1">
        <f t="array" ref="K421">_xlfn.IFS(J421&lt;30000,"Low Value",J421&lt;=100000,"Medium Value",J421&gt;100000,"High Value")</f>
        <v>Low Value</v>
      </c>
      <c r="L421" s="4" t="s">
        <v>23</v>
      </c>
      <c r="M421" s="4" t="s">
        <v>24</v>
      </c>
      <c r="N421" s="4" t="str">
        <f t="shared" si="18"/>
        <v>August</v>
      </c>
      <c r="O421" s="4" t="str">
        <f t="shared" si="19"/>
        <v>Q3</v>
      </c>
      <c r="P421" s="4">
        <f t="shared" si="20"/>
        <v>2025</v>
      </c>
    </row>
    <row r="422" spans="1:16" x14ac:dyDescent="0.25">
      <c r="A422" s="4">
        <v>421</v>
      </c>
      <c r="B422" s="5">
        <v>45866</v>
      </c>
      <c r="C422" s="4" t="s">
        <v>19</v>
      </c>
      <c r="D422" s="4" t="s">
        <v>92</v>
      </c>
      <c r="E422" s="4" t="s">
        <v>224</v>
      </c>
      <c r="F422" s="4" t="s">
        <v>15</v>
      </c>
      <c r="G422" s="4" t="s">
        <v>16</v>
      </c>
      <c r="H422" s="4">
        <v>1</v>
      </c>
      <c r="I422" s="6">
        <v>55000</v>
      </c>
      <c r="J422" s="6">
        <v>55000</v>
      </c>
      <c r="K422" t="str" cm="1">
        <f t="array" ref="K422">_xlfn.IFS(J422&lt;30000,"Low Value",J422&lt;=100000,"Medium Value",J422&gt;100000,"High Value")</f>
        <v>Medium Value</v>
      </c>
      <c r="L422" s="4" t="s">
        <v>43</v>
      </c>
      <c r="M422" s="4" t="s">
        <v>24</v>
      </c>
      <c r="N422" s="4" t="str">
        <f t="shared" si="18"/>
        <v>July</v>
      </c>
      <c r="O422" s="4" t="str">
        <f t="shared" si="19"/>
        <v>Q3</v>
      </c>
      <c r="P422" s="4">
        <f t="shared" si="20"/>
        <v>2025</v>
      </c>
    </row>
    <row r="423" spans="1:16" x14ac:dyDescent="0.25">
      <c r="A423" s="4">
        <v>422</v>
      </c>
      <c r="B423" s="5">
        <v>45760</v>
      </c>
      <c r="C423" s="4" t="s">
        <v>12</v>
      </c>
      <c r="D423" s="4" t="s">
        <v>52</v>
      </c>
      <c r="E423" s="4" t="s">
        <v>459</v>
      </c>
      <c r="F423" s="4" t="s">
        <v>22</v>
      </c>
      <c r="G423" s="4" t="s">
        <v>16</v>
      </c>
      <c r="H423" s="4">
        <v>4</v>
      </c>
      <c r="I423" s="6">
        <v>1200</v>
      </c>
      <c r="J423" s="6">
        <v>4800</v>
      </c>
      <c r="K423" t="str" cm="1">
        <f t="array" ref="K423">_xlfn.IFS(J423&lt;30000,"Low Value",J423&lt;=100000,"Medium Value",J423&gt;100000,"High Value")</f>
        <v>Low Value</v>
      </c>
      <c r="L423" s="4" t="s">
        <v>33</v>
      </c>
      <c r="M423" s="4" t="s">
        <v>24</v>
      </c>
      <c r="N423" s="4" t="str">
        <f t="shared" si="18"/>
        <v>April</v>
      </c>
      <c r="O423" s="4" t="str">
        <f t="shared" si="19"/>
        <v>Q2</v>
      </c>
      <c r="P423" s="4">
        <f t="shared" si="20"/>
        <v>2025</v>
      </c>
    </row>
    <row r="424" spans="1:16" x14ac:dyDescent="0.25">
      <c r="A424" s="4">
        <v>423</v>
      </c>
      <c r="B424" s="5">
        <v>45929</v>
      </c>
      <c r="C424" s="4" t="s">
        <v>48</v>
      </c>
      <c r="D424" s="4" t="s">
        <v>97</v>
      </c>
      <c r="E424" s="4" t="s">
        <v>460</v>
      </c>
      <c r="F424" s="4" t="s">
        <v>22</v>
      </c>
      <c r="G424" s="4" t="s">
        <v>16</v>
      </c>
      <c r="H424" s="4">
        <v>5</v>
      </c>
      <c r="I424" s="6">
        <v>1200</v>
      </c>
      <c r="J424" s="6">
        <v>6000</v>
      </c>
      <c r="K424" t="str" cm="1">
        <f t="array" ref="K424">_xlfn.IFS(J424&lt;30000,"Low Value",J424&lt;=100000,"Medium Value",J424&gt;100000,"High Value")</f>
        <v>Low Value</v>
      </c>
      <c r="L424" s="4" t="s">
        <v>23</v>
      </c>
      <c r="M424" s="4" t="s">
        <v>24</v>
      </c>
      <c r="N424" s="4" t="str">
        <f t="shared" si="18"/>
        <v>September</v>
      </c>
      <c r="O424" s="4" t="str">
        <f t="shared" si="19"/>
        <v>Q3</v>
      </c>
      <c r="P424" s="4">
        <f t="shared" si="20"/>
        <v>2025</v>
      </c>
    </row>
    <row r="425" spans="1:16" x14ac:dyDescent="0.25">
      <c r="A425" s="4">
        <v>424</v>
      </c>
      <c r="B425" s="5">
        <v>45804</v>
      </c>
      <c r="C425" s="4" t="s">
        <v>48</v>
      </c>
      <c r="D425" s="4" t="s">
        <v>92</v>
      </c>
      <c r="E425" s="4" t="s">
        <v>461</v>
      </c>
      <c r="F425" s="4" t="s">
        <v>40</v>
      </c>
      <c r="G425" s="4" t="s">
        <v>16</v>
      </c>
      <c r="H425" s="4">
        <v>3</v>
      </c>
      <c r="I425" s="6">
        <v>500</v>
      </c>
      <c r="J425" s="6">
        <v>1500</v>
      </c>
      <c r="K425" t="str" cm="1">
        <f t="array" ref="K425">_xlfn.IFS(J425&lt;30000,"Low Value",J425&lt;=100000,"Medium Value",J425&gt;100000,"High Value")</f>
        <v>Low Value</v>
      </c>
      <c r="L425" s="4" t="s">
        <v>43</v>
      </c>
      <c r="M425" s="4" t="s">
        <v>24</v>
      </c>
      <c r="N425" s="4" t="str">
        <f t="shared" si="18"/>
        <v>May</v>
      </c>
      <c r="O425" s="4" t="str">
        <f t="shared" si="19"/>
        <v>Q2</v>
      </c>
      <c r="P425" s="4">
        <f t="shared" si="20"/>
        <v>2025</v>
      </c>
    </row>
    <row r="426" spans="1:16" x14ac:dyDescent="0.25">
      <c r="A426" s="4">
        <v>425</v>
      </c>
      <c r="B426" s="5">
        <v>45949</v>
      </c>
      <c r="C426" s="4" t="s">
        <v>25</v>
      </c>
      <c r="D426" s="4" t="s">
        <v>59</v>
      </c>
      <c r="E426" s="4" t="s">
        <v>462</v>
      </c>
      <c r="F426" s="4" t="s">
        <v>47</v>
      </c>
      <c r="G426" s="4" t="s">
        <v>16</v>
      </c>
      <c r="H426" s="4">
        <v>7</v>
      </c>
      <c r="I426" s="6">
        <v>9000</v>
      </c>
      <c r="J426" s="6">
        <v>63000</v>
      </c>
      <c r="K426" t="str" cm="1">
        <f t="array" ref="K426">_xlfn.IFS(J426&lt;30000,"Low Value",J426&lt;=100000,"Medium Value",J426&gt;100000,"High Value")</f>
        <v>Medium Value</v>
      </c>
      <c r="L426" s="4" t="s">
        <v>33</v>
      </c>
      <c r="M426" s="4" t="s">
        <v>24</v>
      </c>
      <c r="N426" s="4" t="str">
        <f t="shared" si="18"/>
        <v>October</v>
      </c>
      <c r="O426" s="4" t="str">
        <f t="shared" si="19"/>
        <v>Q4</v>
      </c>
      <c r="P426" s="4">
        <f t="shared" si="20"/>
        <v>2025</v>
      </c>
    </row>
    <row r="427" spans="1:16" x14ac:dyDescent="0.25">
      <c r="A427" s="4">
        <v>426</v>
      </c>
      <c r="B427" s="5">
        <v>45881</v>
      </c>
      <c r="C427" s="4" t="s">
        <v>12</v>
      </c>
      <c r="D427" s="4" t="s">
        <v>85</v>
      </c>
      <c r="E427" s="4" t="s">
        <v>463</v>
      </c>
      <c r="F427" s="4" t="s">
        <v>22</v>
      </c>
      <c r="G427" s="4" t="s">
        <v>16</v>
      </c>
      <c r="H427" s="4">
        <v>4</v>
      </c>
      <c r="I427" s="6">
        <v>1200</v>
      </c>
      <c r="J427" s="6">
        <v>4800</v>
      </c>
      <c r="K427" t="str" cm="1">
        <f t="array" ref="K427">_xlfn.IFS(J427&lt;30000,"Low Value",J427&lt;=100000,"Medium Value",J427&gt;100000,"High Value")</f>
        <v>Low Value</v>
      </c>
      <c r="L427" s="4" t="s">
        <v>23</v>
      </c>
      <c r="M427" s="4" t="s">
        <v>54</v>
      </c>
      <c r="N427" s="4" t="str">
        <f t="shared" si="18"/>
        <v>August</v>
      </c>
      <c r="O427" s="4" t="str">
        <f t="shared" si="19"/>
        <v>Q3</v>
      </c>
      <c r="P427" s="4">
        <f t="shared" si="20"/>
        <v>2025</v>
      </c>
    </row>
    <row r="428" spans="1:16" x14ac:dyDescent="0.25">
      <c r="A428" s="4">
        <v>427</v>
      </c>
      <c r="B428" s="5">
        <v>45947</v>
      </c>
      <c r="C428" s="4" t="s">
        <v>48</v>
      </c>
      <c r="D428" s="4" t="s">
        <v>38</v>
      </c>
      <c r="E428" s="4" t="s">
        <v>464</v>
      </c>
      <c r="F428" s="4" t="s">
        <v>40</v>
      </c>
      <c r="G428" s="4" t="s">
        <v>16</v>
      </c>
      <c r="H428" s="4">
        <v>8</v>
      </c>
      <c r="I428" s="6">
        <v>500</v>
      </c>
      <c r="J428" s="6">
        <v>4000</v>
      </c>
      <c r="K428" t="str" cm="1">
        <f t="array" ref="K428">_xlfn.IFS(J428&lt;30000,"Low Value",J428&lt;=100000,"Medium Value",J428&gt;100000,"High Value")</f>
        <v>Low Value</v>
      </c>
      <c r="L428" s="4" t="s">
        <v>43</v>
      </c>
      <c r="M428" s="4" t="s">
        <v>24</v>
      </c>
      <c r="N428" s="4" t="str">
        <f t="shared" si="18"/>
        <v>October</v>
      </c>
      <c r="O428" s="4" t="str">
        <f t="shared" si="19"/>
        <v>Q4</v>
      </c>
      <c r="P428" s="4">
        <f t="shared" si="20"/>
        <v>2025</v>
      </c>
    </row>
    <row r="429" spans="1:16" x14ac:dyDescent="0.25">
      <c r="A429" s="4">
        <v>428</v>
      </c>
      <c r="B429" s="5">
        <v>45829</v>
      </c>
      <c r="C429" s="4" t="s">
        <v>12</v>
      </c>
      <c r="D429" s="4" t="s">
        <v>121</v>
      </c>
      <c r="E429" s="4" t="s">
        <v>465</v>
      </c>
      <c r="F429" s="4" t="s">
        <v>15</v>
      </c>
      <c r="G429" s="4" t="s">
        <v>16</v>
      </c>
      <c r="H429" s="4">
        <v>3</v>
      </c>
      <c r="I429" s="6">
        <v>55000</v>
      </c>
      <c r="J429" s="6">
        <v>165000</v>
      </c>
      <c r="K429" t="str" cm="1">
        <f t="array" ref="K429">_xlfn.IFS(J429&lt;30000,"Low Value",J429&lt;=100000,"Medium Value",J429&gt;100000,"High Value")</f>
        <v>High Value</v>
      </c>
      <c r="L429" s="4" t="s">
        <v>33</v>
      </c>
      <c r="M429" s="4" t="s">
        <v>24</v>
      </c>
      <c r="N429" s="4" t="str">
        <f t="shared" si="18"/>
        <v>June</v>
      </c>
      <c r="O429" s="4" t="str">
        <f t="shared" si="19"/>
        <v>Q2</v>
      </c>
      <c r="P429" s="4">
        <f t="shared" si="20"/>
        <v>2025</v>
      </c>
    </row>
    <row r="430" spans="1:16" x14ac:dyDescent="0.25">
      <c r="A430" s="4">
        <v>429</v>
      </c>
      <c r="B430" s="5">
        <v>45793</v>
      </c>
      <c r="C430" s="4" t="s">
        <v>48</v>
      </c>
      <c r="D430" s="4" t="s">
        <v>38</v>
      </c>
      <c r="E430" s="4" t="s">
        <v>466</v>
      </c>
      <c r="F430" s="4" t="s">
        <v>40</v>
      </c>
      <c r="G430" s="4" t="s">
        <v>16</v>
      </c>
      <c r="H430" s="4">
        <v>9</v>
      </c>
      <c r="I430" s="6">
        <v>500</v>
      </c>
      <c r="J430" s="6">
        <v>4500</v>
      </c>
      <c r="K430" t="str" cm="1">
        <f t="array" ref="K430">_xlfn.IFS(J430&lt;30000,"Low Value",J430&lt;=100000,"Medium Value",J430&gt;100000,"High Value")</f>
        <v>Low Value</v>
      </c>
      <c r="L430" s="4" t="s">
        <v>17</v>
      </c>
      <c r="M430" s="4" t="s">
        <v>24</v>
      </c>
      <c r="N430" s="4" t="str">
        <f t="shared" si="18"/>
        <v>May</v>
      </c>
      <c r="O430" s="4" t="str">
        <f t="shared" si="19"/>
        <v>Q2</v>
      </c>
      <c r="P430" s="4">
        <f t="shared" si="20"/>
        <v>2025</v>
      </c>
    </row>
    <row r="431" spans="1:16" x14ac:dyDescent="0.25">
      <c r="A431" s="4">
        <v>430</v>
      </c>
      <c r="B431" s="5">
        <v>45826</v>
      </c>
      <c r="C431" s="4" t="s">
        <v>25</v>
      </c>
      <c r="D431" s="4" t="s">
        <v>38</v>
      </c>
      <c r="E431" s="4" t="s">
        <v>467</v>
      </c>
      <c r="F431" s="4" t="s">
        <v>40</v>
      </c>
      <c r="G431" s="4" t="s">
        <v>16</v>
      </c>
      <c r="H431" s="4">
        <v>3</v>
      </c>
      <c r="I431" s="6">
        <v>500</v>
      </c>
      <c r="J431" s="6">
        <v>1500</v>
      </c>
      <c r="K431" t="str" cm="1">
        <f t="array" ref="K431">_xlfn.IFS(J431&lt;30000,"Low Value",J431&lt;=100000,"Medium Value",J431&gt;100000,"High Value")</f>
        <v>Low Value</v>
      </c>
      <c r="L431" s="4" t="s">
        <v>33</v>
      </c>
      <c r="M431" s="4" t="s">
        <v>24</v>
      </c>
      <c r="N431" s="4" t="str">
        <f t="shared" si="18"/>
        <v>June</v>
      </c>
      <c r="O431" s="4" t="str">
        <f t="shared" si="19"/>
        <v>Q2</v>
      </c>
      <c r="P431" s="4">
        <f t="shared" si="20"/>
        <v>2025</v>
      </c>
    </row>
    <row r="432" spans="1:16" x14ac:dyDescent="0.25">
      <c r="A432" s="4">
        <v>431</v>
      </c>
      <c r="B432" s="5">
        <v>45855</v>
      </c>
      <c r="C432" s="4" t="s">
        <v>34</v>
      </c>
      <c r="D432" s="4" t="s">
        <v>30</v>
      </c>
      <c r="E432" s="4" t="s">
        <v>468</v>
      </c>
      <c r="F432" s="4" t="s">
        <v>22</v>
      </c>
      <c r="G432" s="4" t="s">
        <v>16</v>
      </c>
      <c r="H432" s="4">
        <v>7</v>
      </c>
      <c r="I432" s="6">
        <v>1200</v>
      </c>
      <c r="J432" s="6">
        <v>8400</v>
      </c>
      <c r="K432" t="str" cm="1">
        <f t="array" ref="K432">_xlfn.IFS(J432&lt;30000,"Low Value",J432&lt;=100000,"Medium Value",J432&gt;100000,"High Value")</f>
        <v>Low Value</v>
      </c>
      <c r="L432" s="4" t="s">
        <v>43</v>
      </c>
      <c r="M432" s="4" t="s">
        <v>24</v>
      </c>
      <c r="N432" s="4" t="str">
        <f t="shared" si="18"/>
        <v>July</v>
      </c>
      <c r="O432" s="4" t="str">
        <f t="shared" si="19"/>
        <v>Q3</v>
      </c>
      <c r="P432" s="4">
        <f t="shared" si="20"/>
        <v>2025</v>
      </c>
    </row>
    <row r="433" spans="1:16" x14ac:dyDescent="0.25">
      <c r="A433" s="4">
        <v>432</v>
      </c>
      <c r="B433" s="5">
        <v>45850</v>
      </c>
      <c r="C433" s="4" t="s">
        <v>12</v>
      </c>
      <c r="D433" s="4" t="s">
        <v>49</v>
      </c>
      <c r="E433" s="4" t="s">
        <v>469</v>
      </c>
      <c r="F433" s="4" t="s">
        <v>22</v>
      </c>
      <c r="G433" s="4" t="s">
        <v>16</v>
      </c>
      <c r="H433" s="4">
        <v>1</v>
      </c>
      <c r="I433" s="6">
        <v>1200</v>
      </c>
      <c r="J433" s="6">
        <v>1200</v>
      </c>
      <c r="K433" t="str" cm="1">
        <f t="array" ref="K433">_xlfn.IFS(J433&lt;30000,"Low Value",J433&lt;=100000,"Medium Value",J433&gt;100000,"High Value")</f>
        <v>Low Value</v>
      </c>
      <c r="L433" s="4" t="s">
        <v>33</v>
      </c>
      <c r="M433" s="4" t="s">
        <v>54</v>
      </c>
      <c r="N433" s="4" t="str">
        <f t="shared" si="18"/>
        <v>July</v>
      </c>
      <c r="O433" s="4" t="str">
        <f t="shared" si="19"/>
        <v>Q3</v>
      </c>
      <c r="P433" s="4">
        <f t="shared" si="20"/>
        <v>2025</v>
      </c>
    </row>
    <row r="434" spans="1:16" x14ac:dyDescent="0.25">
      <c r="A434" s="4">
        <v>433</v>
      </c>
      <c r="B434" s="5">
        <v>45969</v>
      </c>
      <c r="C434" s="4" t="s">
        <v>34</v>
      </c>
      <c r="D434" s="4" t="s">
        <v>66</v>
      </c>
      <c r="E434" s="4" t="s">
        <v>470</v>
      </c>
      <c r="F434" s="4" t="s">
        <v>22</v>
      </c>
      <c r="G434" s="4" t="s">
        <v>16</v>
      </c>
      <c r="H434" s="4">
        <v>1</v>
      </c>
      <c r="I434" s="6">
        <v>1200</v>
      </c>
      <c r="J434" s="6">
        <v>1200</v>
      </c>
      <c r="K434" t="str" cm="1">
        <f t="array" ref="K434">_xlfn.IFS(J434&lt;30000,"Low Value",J434&lt;=100000,"Medium Value",J434&gt;100000,"High Value")</f>
        <v>Low Value</v>
      </c>
      <c r="L434" s="4" t="s">
        <v>43</v>
      </c>
      <c r="M434" s="4" t="s">
        <v>24</v>
      </c>
      <c r="N434" s="4" t="str">
        <f t="shared" si="18"/>
        <v>November</v>
      </c>
      <c r="O434" s="4" t="str">
        <f t="shared" si="19"/>
        <v>Q4</v>
      </c>
      <c r="P434" s="4">
        <f t="shared" si="20"/>
        <v>2025</v>
      </c>
    </row>
    <row r="435" spans="1:16" x14ac:dyDescent="0.25">
      <c r="A435" s="4">
        <v>434</v>
      </c>
      <c r="B435" s="5">
        <v>45926</v>
      </c>
      <c r="C435" s="4" t="s">
        <v>25</v>
      </c>
      <c r="D435" s="4" t="s">
        <v>13</v>
      </c>
      <c r="E435" s="4" t="s">
        <v>471</v>
      </c>
      <c r="F435" s="4" t="s">
        <v>32</v>
      </c>
      <c r="G435" s="4" t="s">
        <v>29</v>
      </c>
      <c r="H435" s="4">
        <v>1</v>
      </c>
      <c r="I435" s="6">
        <v>7000</v>
      </c>
      <c r="J435" s="6">
        <v>7000</v>
      </c>
      <c r="K435" t="str" cm="1">
        <f t="array" ref="K435">_xlfn.IFS(J435&lt;30000,"Low Value",J435&lt;=100000,"Medium Value",J435&gt;100000,"High Value")</f>
        <v>Low Value</v>
      </c>
      <c r="L435" s="4" t="s">
        <v>33</v>
      </c>
      <c r="M435" s="4" t="s">
        <v>24</v>
      </c>
      <c r="N435" s="4" t="str">
        <f t="shared" si="18"/>
        <v>September</v>
      </c>
      <c r="O435" s="4" t="str">
        <f t="shared" si="19"/>
        <v>Q3</v>
      </c>
      <c r="P435" s="4">
        <f t="shared" si="20"/>
        <v>2025</v>
      </c>
    </row>
    <row r="436" spans="1:16" x14ac:dyDescent="0.25">
      <c r="A436" s="4">
        <v>435</v>
      </c>
      <c r="B436" s="5">
        <v>45997</v>
      </c>
      <c r="C436" s="4" t="s">
        <v>25</v>
      </c>
      <c r="D436" s="4" t="s">
        <v>30</v>
      </c>
      <c r="E436" s="4" t="s">
        <v>472</v>
      </c>
      <c r="F436" s="4" t="s">
        <v>47</v>
      </c>
      <c r="G436" s="4" t="s">
        <v>16</v>
      </c>
      <c r="H436" s="4">
        <v>3</v>
      </c>
      <c r="I436" s="6">
        <v>9000</v>
      </c>
      <c r="J436" s="6">
        <v>27000</v>
      </c>
      <c r="K436" t="str" cm="1">
        <f t="array" ref="K436">_xlfn.IFS(J436&lt;30000,"Low Value",J436&lt;=100000,"Medium Value",J436&gt;100000,"High Value")</f>
        <v>Low Value</v>
      </c>
      <c r="L436" s="4" t="s">
        <v>23</v>
      </c>
      <c r="M436" s="4" t="s">
        <v>54</v>
      </c>
      <c r="N436" s="4" t="str">
        <f t="shared" si="18"/>
        <v>December</v>
      </c>
      <c r="O436" s="4" t="str">
        <f t="shared" si="19"/>
        <v>Q4</v>
      </c>
      <c r="P436" s="4">
        <f t="shared" si="20"/>
        <v>2025</v>
      </c>
    </row>
    <row r="437" spans="1:16" x14ac:dyDescent="0.25">
      <c r="A437" s="4">
        <v>436</v>
      </c>
      <c r="B437" s="5">
        <v>45958</v>
      </c>
      <c r="C437" s="4" t="s">
        <v>34</v>
      </c>
      <c r="D437" s="4" t="s">
        <v>13</v>
      </c>
      <c r="E437" s="4" t="s">
        <v>473</v>
      </c>
      <c r="F437" s="4" t="s">
        <v>40</v>
      </c>
      <c r="G437" s="4" t="s">
        <v>16</v>
      </c>
      <c r="H437" s="4">
        <v>5</v>
      </c>
      <c r="I437" s="6">
        <v>500</v>
      </c>
      <c r="J437" s="6">
        <v>2500</v>
      </c>
      <c r="K437" t="str" cm="1">
        <f t="array" ref="K437">_xlfn.IFS(J437&lt;30000,"Low Value",J437&lt;=100000,"Medium Value",J437&gt;100000,"High Value")</f>
        <v>Low Value</v>
      </c>
      <c r="L437" s="4" t="s">
        <v>33</v>
      </c>
      <c r="M437" s="4" t="s">
        <v>24</v>
      </c>
      <c r="N437" s="4" t="str">
        <f t="shared" si="18"/>
        <v>October</v>
      </c>
      <c r="O437" s="4" t="str">
        <f t="shared" si="19"/>
        <v>Q4</v>
      </c>
      <c r="P437" s="4">
        <f t="shared" si="20"/>
        <v>2025</v>
      </c>
    </row>
    <row r="438" spans="1:16" x14ac:dyDescent="0.25">
      <c r="A438" s="4">
        <v>437</v>
      </c>
      <c r="B438" s="5">
        <v>45743</v>
      </c>
      <c r="C438" s="4" t="s">
        <v>19</v>
      </c>
      <c r="D438" s="4" t="s">
        <v>55</v>
      </c>
      <c r="E438" s="4" t="s">
        <v>474</v>
      </c>
      <c r="F438" s="4" t="s">
        <v>47</v>
      </c>
      <c r="G438" s="4" t="s">
        <v>16</v>
      </c>
      <c r="H438" s="4">
        <v>3</v>
      </c>
      <c r="I438" s="6">
        <v>9000</v>
      </c>
      <c r="J438" s="6">
        <v>27000</v>
      </c>
      <c r="K438" t="str" cm="1">
        <f t="array" ref="K438">_xlfn.IFS(J438&lt;30000,"Low Value",J438&lt;=100000,"Medium Value",J438&gt;100000,"High Value")</f>
        <v>Low Value</v>
      </c>
      <c r="L438" s="4" t="s">
        <v>43</v>
      </c>
      <c r="M438" s="4" t="s">
        <v>24</v>
      </c>
      <c r="N438" s="4" t="str">
        <f t="shared" si="18"/>
        <v>March</v>
      </c>
      <c r="O438" s="4" t="str">
        <f t="shared" si="19"/>
        <v>Q1</v>
      </c>
      <c r="P438" s="4">
        <f t="shared" si="20"/>
        <v>2025</v>
      </c>
    </row>
    <row r="439" spans="1:16" x14ac:dyDescent="0.25">
      <c r="A439" s="4">
        <v>438</v>
      </c>
      <c r="B439" s="5">
        <v>45864</v>
      </c>
      <c r="C439" s="4" t="s">
        <v>48</v>
      </c>
      <c r="D439" s="4" t="s">
        <v>49</v>
      </c>
      <c r="E439" s="4" t="s">
        <v>475</v>
      </c>
      <c r="F439" s="4" t="s">
        <v>40</v>
      </c>
      <c r="G439" s="4" t="s">
        <v>16</v>
      </c>
      <c r="H439" s="4">
        <v>10</v>
      </c>
      <c r="I439" s="6">
        <v>500</v>
      </c>
      <c r="J439" s="6">
        <v>5000</v>
      </c>
      <c r="K439" t="str" cm="1">
        <f t="array" ref="K439">_xlfn.IFS(J439&lt;30000,"Low Value",J439&lt;=100000,"Medium Value",J439&gt;100000,"High Value")</f>
        <v>Low Value</v>
      </c>
      <c r="L439" s="4" t="s">
        <v>23</v>
      </c>
      <c r="M439" s="4" t="s">
        <v>54</v>
      </c>
      <c r="N439" s="4" t="str">
        <f t="shared" si="18"/>
        <v>July</v>
      </c>
      <c r="O439" s="4" t="str">
        <f t="shared" si="19"/>
        <v>Q3</v>
      </c>
      <c r="P439" s="4">
        <f t="shared" si="20"/>
        <v>2025</v>
      </c>
    </row>
    <row r="440" spans="1:16" x14ac:dyDescent="0.25">
      <c r="A440" s="4">
        <v>439</v>
      </c>
      <c r="B440" s="5">
        <v>45913</v>
      </c>
      <c r="C440" s="4" t="s">
        <v>25</v>
      </c>
      <c r="D440" s="4" t="s">
        <v>38</v>
      </c>
      <c r="E440" s="4" t="s">
        <v>476</v>
      </c>
      <c r="F440" s="4" t="s">
        <v>15</v>
      </c>
      <c r="G440" s="4" t="s">
        <v>16</v>
      </c>
      <c r="H440" s="4">
        <v>9</v>
      </c>
      <c r="I440" s="6">
        <v>55000</v>
      </c>
      <c r="J440" s="6">
        <v>495000</v>
      </c>
      <c r="K440" t="str" cm="1">
        <f t="array" ref="K440">_xlfn.IFS(J440&lt;30000,"Low Value",J440&lt;=100000,"Medium Value",J440&gt;100000,"High Value")</f>
        <v>High Value</v>
      </c>
      <c r="L440" s="4" t="s">
        <v>23</v>
      </c>
      <c r="M440" s="4" t="s">
        <v>24</v>
      </c>
      <c r="N440" s="4" t="str">
        <f t="shared" si="18"/>
        <v>September</v>
      </c>
      <c r="O440" s="4" t="str">
        <f t="shared" si="19"/>
        <v>Q3</v>
      </c>
      <c r="P440" s="4">
        <f t="shared" si="20"/>
        <v>2025</v>
      </c>
    </row>
    <row r="441" spans="1:16" x14ac:dyDescent="0.25">
      <c r="A441" s="4">
        <v>440</v>
      </c>
      <c r="B441" s="5">
        <v>45999</v>
      </c>
      <c r="C441" s="4" t="s">
        <v>34</v>
      </c>
      <c r="D441" s="4" t="s">
        <v>26</v>
      </c>
      <c r="E441" s="4" t="s">
        <v>477</v>
      </c>
      <c r="F441" s="4" t="s">
        <v>40</v>
      </c>
      <c r="G441" s="4" t="s">
        <v>16</v>
      </c>
      <c r="H441" s="4">
        <v>9</v>
      </c>
      <c r="I441" s="6">
        <v>500</v>
      </c>
      <c r="J441" s="6">
        <v>4500</v>
      </c>
      <c r="K441" t="str" cm="1">
        <f t="array" ref="K441">_xlfn.IFS(J441&lt;30000,"Low Value",J441&lt;=100000,"Medium Value",J441&gt;100000,"High Value")</f>
        <v>Low Value</v>
      </c>
      <c r="L441" s="4" t="s">
        <v>17</v>
      </c>
      <c r="M441" s="4" t="s">
        <v>24</v>
      </c>
      <c r="N441" s="4" t="str">
        <f t="shared" si="18"/>
        <v>December</v>
      </c>
      <c r="O441" s="4" t="str">
        <f t="shared" si="19"/>
        <v>Q4</v>
      </c>
      <c r="P441" s="4">
        <f t="shared" si="20"/>
        <v>2025</v>
      </c>
    </row>
    <row r="442" spans="1:16" x14ac:dyDescent="0.25">
      <c r="A442" s="4">
        <v>441</v>
      </c>
      <c r="B442" s="5">
        <v>45851</v>
      </c>
      <c r="C442" s="4" t="s">
        <v>34</v>
      </c>
      <c r="D442" s="4" t="s">
        <v>20</v>
      </c>
      <c r="E442" s="4" t="s">
        <v>478</v>
      </c>
      <c r="F442" s="4" t="s">
        <v>32</v>
      </c>
      <c r="G442" s="4" t="s">
        <v>29</v>
      </c>
      <c r="H442" s="4">
        <v>4</v>
      </c>
      <c r="I442" s="6">
        <v>7000</v>
      </c>
      <c r="J442" s="6">
        <v>28000</v>
      </c>
      <c r="K442" t="str" cm="1">
        <f t="array" ref="K442">_xlfn.IFS(J442&lt;30000,"Low Value",J442&lt;=100000,"Medium Value",J442&gt;100000,"High Value")</f>
        <v>Low Value</v>
      </c>
      <c r="L442" s="4" t="s">
        <v>43</v>
      </c>
      <c r="M442" s="4" t="s">
        <v>24</v>
      </c>
      <c r="N442" s="4" t="str">
        <f t="shared" si="18"/>
        <v>July</v>
      </c>
      <c r="O442" s="4" t="str">
        <f t="shared" si="19"/>
        <v>Q3</v>
      </c>
      <c r="P442" s="4">
        <f t="shared" si="20"/>
        <v>2025</v>
      </c>
    </row>
    <row r="443" spans="1:16" x14ac:dyDescent="0.25">
      <c r="A443" s="4">
        <v>442</v>
      </c>
      <c r="B443" s="5">
        <v>45747</v>
      </c>
      <c r="C443" s="4" t="s">
        <v>34</v>
      </c>
      <c r="D443" s="4" t="s">
        <v>36</v>
      </c>
      <c r="E443" s="4" t="s">
        <v>479</v>
      </c>
      <c r="F443" s="4" t="s">
        <v>40</v>
      </c>
      <c r="G443" s="4" t="s">
        <v>16</v>
      </c>
      <c r="H443" s="4">
        <v>10</v>
      </c>
      <c r="I443" s="6">
        <v>500</v>
      </c>
      <c r="J443" s="6">
        <v>5000</v>
      </c>
      <c r="K443" t="str" cm="1">
        <f t="array" ref="K443">_xlfn.IFS(J443&lt;30000,"Low Value",J443&lt;=100000,"Medium Value",J443&gt;100000,"High Value")</f>
        <v>Low Value</v>
      </c>
      <c r="L443" s="4" t="s">
        <v>43</v>
      </c>
      <c r="M443" s="4" t="s">
        <v>24</v>
      </c>
      <c r="N443" s="4" t="str">
        <f t="shared" si="18"/>
        <v>March</v>
      </c>
      <c r="O443" s="4" t="str">
        <f t="shared" si="19"/>
        <v>Q1</v>
      </c>
      <c r="P443" s="4">
        <f t="shared" si="20"/>
        <v>2025</v>
      </c>
    </row>
    <row r="444" spans="1:16" x14ac:dyDescent="0.25">
      <c r="A444" s="4">
        <v>443</v>
      </c>
      <c r="B444" s="5">
        <v>45693</v>
      </c>
      <c r="C444" s="4" t="s">
        <v>48</v>
      </c>
      <c r="D444" s="4" t="s">
        <v>44</v>
      </c>
      <c r="E444" s="4" t="s">
        <v>480</v>
      </c>
      <c r="F444" s="4" t="s">
        <v>22</v>
      </c>
      <c r="G444" s="4" t="s">
        <v>16</v>
      </c>
      <c r="H444" s="4">
        <v>1</v>
      </c>
      <c r="I444" s="6">
        <v>1200</v>
      </c>
      <c r="J444" s="6">
        <v>1200</v>
      </c>
      <c r="K444" t="str" cm="1">
        <f t="array" ref="K444">_xlfn.IFS(J444&lt;30000,"Low Value",J444&lt;=100000,"Medium Value",J444&gt;100000,"High Value")</f>
        <v>Low Value</v>
      </c>
      <c r="L444" s="4" t="s">
        <v>43</v>
      </c>
      <c r="M444" s="4" t="s">
        <v>24</v>
      </c>
      <c r="N444" s="4" t="str">
        <f t="shared" si="18"/>
        <v>February</v>
      </c>
      <c r="O444" s="4" t="str">
        <f t="shared" si="19"/>
        <v>Q1</v>
      </c>
      <c r="P444" s="4">
        <f t="shared" si="20"/>
        <v>2025</v>
      </c>
    </row>
    <row r="445" spans="1:16" x14ac:dyDescent="0.25">
      <c r="A445" s="4">
        <v>444</v>
      </c>
      <c r="B445" s="5">
        <v>45685</v>
      </c>
      <c r="C445" s="4" t="s">
        <v>25</v>
      </c>
      <c r="D445" s="4" t="s">
        <v>41</v>
      </c>
      <c r="E445" s="4" t="s">
        <v>481</v>
      </c>
      <c r="F445" s="4" t="s">
        <v>47</v>
      </c>
      <c r="G445" s="4" t="s">
        <v>16</v>
      </c>
      <c r="H445" s="4">
        <v>4</v>
      </c>
      <c r="I445" s="6">
        <v>9000</v>
      </c>
      <c r="J445" s="6">
        <v>36000</v>
      </c>
      <c r="K445" t="str" cm="1">
        <f t="array" ref="K445">_xlfn.IFS(J445&lt;30000,"Low Value",J445&lt;=100000,"Medium Value",J445&gt;100000,"High Value")</f>
        <v>Medium Value</v>
      </c>
      <c r="L445" s="4" t="s">
        <v>43</v>
      </c>
      <c r="M445" s="4" t="s">
        <v>24</v>
      </c>
      <c r="N445" s="4" t="str">
        <f t="shared" si="18"/>
        <v>January</v>
      </c>
      <c r="O445" s="4" t="str">
        <f t="shared" si="19"/>
        <v>Q1</v>
      </c>
      <c r="P445" s="4">
        <f t="shared" si="20"/>
        <v>2025</v>
      </c>
    </row>
    <row r="446" spans="1:16" x14ac:dyDescent="0.25">
      <c r="A446" s="4">
        <v>445</v>
      </c>
      <c r="B446" s="5">
        <v>45677</v>
      </c>
      <c r="C446" s="4" t="s">
        <v>12</v>
      </c>
      <c r="D446" s="4" t="s">
        <v>97</v>
      </c>
      <c r="E446" s="4" t="s">
        <v>482</v>
      </c>
      <c r="F446" s="4" t="s">
        <v>22</v>
      </c>
      <c r="G446" s="4" t="s">
        <v>16</v>
      </c>
      <c r="H446" s="4">
        <v>9</v>
      </c>
      <c r="I446" s="6">
        <v>1200</v>
      </c>
      <c r="J446" s="6">
        <v>10800</v>
      </c>
      <c r="K446" t="str" cm="1">
        <f t="array" ref="K446">_xlfn.IFS(J446&lt;30000,"Low Value",J446&lt;=100000,"Medium Value",J446&gt;100000,"High Value")</f>
        <v>Low Value</v>
      </c>
      <c r="L446" s="4" t="s">
        <v>23</v>
      </c>
      <c r="M446" s="4" t="s">
        <v>24</v>
      </c>
      <c r="N446" s="4" t="str">
        <f t="shared" si="18"/>
        <v>January</v>
      </c>
      <c r="O446" s="4" t="str">
        <f t="shared" si="19"/>
        <v>Q1</v>
      </c>
      <c r="P446" s="4">
        <f t="shared" si="20"/>
        <v>2025</v>
      </c>
    </row>
    <row r="447" spans="1:16" x14ac:dyDescent="0.25">
      <c r="A447" s="4">
        <v>446</v>
      </c>
      <c r="B447" s="5">
        <v>45883</v>
      </c>
      <c r="C447" s="4" t="s">
        <v>19</v>
      </c>
      <c r="D447" s="4" t="s">
        <v>20</v>
      </c>
      <c r="E447" s="4" t="s">
        <v>483</v>
      </c>
      <c r="F447" s="4" t="s">
        <v>40</v>
      </c>
      <c r="G447" s="4" t="s">
        <v>16</v>
      </c>
      <c r="H447" s="4">
        <v>6</v>
      </c>
      <c r="I447" s="6">
        <v>500</v>
      </c>
      <c r="J447" s="6">
        <v>3000</v>
      </c>
      <c r="K447" t="str" cm="1">
        <f t="array" ref="K447">_xlfn.IFS(J447&lt;30000,"Low Value",J447&lt;=100000,"Medium Value",J447&gt;100000,"High Value")</f>
        <v>Low Value</v>
      </c>
      <c r="L447" s="4" t="s">
        <v>33</v>
      </c>
      <c r="M447" s="4" t="s">
        <v>24</v>
      </c>
      <c r="N447" s="4" t="str">
        <f t="shared" si="18"/>
        <v>August</v>
      </c>
      <c r="O447" s="4" t="str">
        <f t="shared" si="19"/>
        <v>Q3</v>
      </c>
      <c r="P447" s="4">
        <f t="shared" si="20"/>
        <v>2025</v>
      </c>
    </row>
    <row r="448" spans="1:16" x14ac:dyDescent="0.25">
      <c r="A448" s="4">
        <v>447</v>
      </c>
      <c r="B448" s="5">
        <v>45899</v>
      </c>
      <c r="C448" s="4" t="s">
        <v>12</v>
      </c>
      <c r="D448" s="4" t="s">
        <v>121</v>
      </c>
      <c r="E448" s="4" t="s">
        <v>484</v>
      </c>
      <c r="F448" s="4" t="s">
        <v>22</v>
      </c>
      <c r="G448" s="4" t="s">
        <v>16</v>
      </c>
      <c r="H448" s="4">
        <v>6</v>
      </c>
      <c r="I448" s="6">
        <v>1200</v>
      </c>
      <c r="J448" s="6">
        <v>7200</v>
      </c>
      <c r="K448" t="str" cm="1">
        <f t="array" ref="K448">_xlfn.IFS(J448&lt;30000,"Low Value",J448&lt;=100000,"Medium Value",J448&gt;100000,"High Value")</f>
        <v>Low Value</v>
      </c>
      <c r="L448" s="4" t="s">
        <v>43</v>
      </c>
      <c r="M448" s="4" t="s">
        <v>24</v>
      </c>
      <c r="N448" s="4" t="str">
        <f t="shared" si="18"/>
        <v>August</v>
      </c>
      <c r="O448" s="4" t="str">
        <f t="shared" si="19"/>
        <v>Q3</v>
      </c>
      <c r="P448" s="4">
        <f t="shared" si="20"/>
        <v>2025</v>
      </c>
    </row>
    <row r="449" spans="1:16" x14ac:dyDescent="0.25">
      <c r="A449" s="4">
        <v>448</v>
      </c>
      <c r="B449" s="5">
        <v>45838</v>
      </c>
      <c r="C449" s="4" t="s">
        <v>12</v>
      </c>
      <c r="D449" s="4" t="s">
        <v>41</v>
      </c>
      <c r="E449" s="4" t="s">
        <v>485</v>
      </c>
      <c r="F449" s="4" t="s">
        <v>32</v>
      </c>
      <c r="G449" s="4" t="s">
        <v>29</v>
      </c>
      <c r="H449" s="4">
        <v>3</v>
      </c>
      <c r="I449" s="6">
        <v>7000</v>
      </c>
      <c r="J449" s="6">
        <v>21000</v>
      </c>
      <c r="K449" t="str" cm="1">
        <f t="array" ref="K449">_xlfn.IFS(J449&lt;30000,"Low Value",J449&lt;=100000,"Medium Value",J449&gt;100000,"High Value")</f>
        <v>Low Value</v>
      </c>
      <c r="L449" s="4" t="s">
        <v>33</v>
      </c>
      <c r="M449" s="4" t="s">
        <v>54</v>
      </c>
      <c r="N449" s="4" t="str">
        <f t="shared" si="18"/>
        <v>June</v>
      </c>
      <c r="O449" s="4" t="str">
        <f t="shared" si="19"/>
        <v>Q2</v>
      </c>
      <c r="P449" s="4">
        <f t="shared" si="20"/>
        <v>2025</v>
      </c>
    </row>
    <row r="450" spans="1:16" x14ac:dyDescent="0.25">
      <c r="A450" s="4">
        <v>449</v>
      </c>
      <c r="B450" s="5">
        <v>45661</v>
      </c>
      <c r="C450" s="4" t="s">
        <v>25</v>
      </c>
      <c r="D450" s="4" t="s">
        <v>49</v>
      </c>
      <c r="E450" s="4" t="s">
        <v>486</v>
      </c>
      <c r="F450" s="4" t="s">
        <v>15</v>
      </c>
      <c r="G450" s="4" t="s">
        <v>16</v>
      </c>
      <c r="H450" s="4">
        <v>9</v>
      </c>
      <c r="I450" s="6">
        <v>55000</v>
      </c>
      <c r="J450" s="6">
        <v>495000</v>
      </c>
      <c r="K450" t="str" cm="1">
        <f t="array" ref="K450">_xlfn.IFS(J450&lt;30000,"Low Value",J450&lt;=100000,"Medium Value",J450&gt;100000,"High Value")</f>
        <v>High Value</v>
      </c>
      <c r="L450" s="4" t="s">
        <v>23</v>
      </c>
      <c r="M450" s="4" t="s">
        <v>54</v>
      </c>
      <c r="N450" s="4" t="str">
        <f t="shared" si="18"/>
        <v>January</v>
      </c>
      <c r="O450" s="4" t="str">
        <f t="shared" si="19"/>
        <v>Q1</v>
      </c>
      <c r="P450" s="4">
        <f t="shared" si="20"/>
        <v>2025</v>
      </c>
    </row>
    <row r="451" spans="1:16" x14ac:dyDescent="0.25">
      <c r="A451" s="4">
        <v>450</v>
      </c>
      <c r="B451" s="5">
        <v>45789</v>
      </c>
      <c r="C451" s="4" t="s">
        <v>48</v>
      </c>
      <c r="D451" s="4" t="s">
        <v>49</v>
      </c>
      <c r="E451" s="4" t="s">
        <v>487</v>
      </c>
      <c r="F451" s="4" t="s">
        <v>15</v>
      </c>
      <c r="G451" s="4" t="s">
        <v>16</v>
      </c>
      <c r="H451" s="4">
        <v>6</v>
      </c>
      <c r="I451" s="6">
        <v>55000</v>
      </c>
      <c r="J451" s="6">
        <v>330000</v>
      </c>
      <c r="K451" t="str" cm="1">
        <f t="array" ref="K451">_xlfn.IFS(J451&lt;30000,"Low Value",J451&lt;=100000,"Medium Value",J451&gt;100000,"High Value")</f>
        <v>High Value</v>
      </c>
      <c r="L451" s="4" t="s">
        <v>43</v>
      </c>
      <c r="M451" s="4" t="s">
        <v>24</v>
      </c>
      <c r="N451" s="4" t="str">
        <f t="shared" ref="N451:N501" si="21">TEXT(B451,"MMMM")</f>
        <v>May</v>
      </c>
      <c r="O451" s="4" t="str">
        <f t="shared" ref="O451:O501" si="22">"Q"&amp;ROUNDUP(MONTH(B451)/3,0)</f>
        <v>Q2</v>
      </c>
      <c r="P451" s="4">
        <f t="shared" ref="P451:P501" si="23">YEAR(B:B)</f>
        <v>2025</v>
      </c>
    </row>
    <row r="452" spans="1:16" x14ac:dyDescent="0.25">
      <c r="A452" s="4">
        <v>451</v>
      </c>
      <c r="B452" s="5">
        <v>45785</v>
      </c>
      <c r="C452" s="4" t="s">
        <v>25</v>
      </c>
      <c r="D452" s="4" t="s">
        <v>44</v>
      </c>
      <c r="E452" s="4" t="s">
        <v>488</v>
      </c>
      <c r="F452" s="4" t="s">
        <v>40</v>
      </c>
      <c r="G452" s="4" t="s">
        <v>16</v>
      </c>
      <c r="H452" s="4">
        <v>7</v>
      </c>
      <c r="I452" s="6">
        <v>500</v>
      </c>
      <c r="J452" s="6">
        <v>3500</v>
      </c>
      <c r="K452" t="str" cm="1">
        <f t="array" ref="K452">_xlfn.IFS(J452&lt;30000,"Low Value",J452&lt;=100000,"Medium Value",J452&gt;100000,"High Value")</f>
        <v>Low Value</v>
      </c>
      <c r="L452" s="4" t="s">
        <v>43</v>
      </c>
      <c r="M452" s="4" t="s">
        <v>24</v>
      </c>
      <c r="N452" s="4" t="str">
        <f t="shared" si="21"/>
        <v>May</v>
      </c>
      <c r="O452" s="4" t="str">
        <f t="shared" si="22"/>
        <v>Q2</v>
      </c>
      <c r="P452" s="4">
        <f t="shared" si="23"/>
        <v>2025</v>
      </c>
    </row>
    <row r="453" spans="1:16" x14ac:dyDescent="0.25">
      <c r="A453" s="4">
        <v>452</v>
      </c>
      <c r="B453" s="5">
        <v>45782</v>
      </c>
      <c r="C453" s="4" t="s">
        <v>25</v>
      </c>
      <c r="D453" s="4" t="s">
        <v>92</v>
      </c>
      <c r="E453" s="4" t="s">
        <v>489</v>
      </c>
      <c r="F453" s="4" t="s">
        <v>47</v>
      </c>
      <c r="G453" s="4" t="s">
        <v>16</v>
      </c>
      <c r="H453" s="4">
        <v>7</v>
      </c>
      <c r="I453" s="6">
        <v>9000</v>
      </c>
      <c r="J453" s="6">
        <v>63000</v>
      </c>
      <c r="K453" t="str" cm="1">
        <f t="array" ref="K453">_xlfn.IFS(J453&lt;30000,"Low Value",J453&lt;=100000,"Medium Value",J453&gt;100000,"High Value")</f>
        <v>Medium Value</v>
      </c>
      <c r="L453" s="4" t="s">
        <v>33</v>
      </c>
      <c r="M453" s="4" t="s">
        <v>24</v>
      </c>
      <c r="N453" s="4" t="str">
        <f t="shared" si="21"/>
        <v>May</v>
      </c>
      <c r="O453" s="4" t="str">
        <f t="shared" si="22"/>
        <v>Q2</v>
      </c>
      <c r="P453" s="4">
        <f t="shared" si="23"/>
        <v>2025</v>
      </c>
    </row>
    <row r="454" spans="1:16" x14ac:dyDescent="0.25">
      <c r="A454" s="4">
        <v>453</v>
      </c>
      <c r="B454" s="5">
        <v>45782</v>
      </c>
      <c r="C454" s="4" t="s">
        <v>48</v>
      </c>
      <c r="D454" s="4" t="s">
        <v>41</v>
      </c>
      <c r="E454" s="4" t="s">
        <v>490</v>
      </c>
      <c r="F454" s="4" t="s">
        <v>32</v>
      </c>
      <c r="G454" s="4" t="s">
        <v>29</v>
      </c>
      <c r="H454" s="4">
        <v>8</v>
      </c>
      <c r="I454" s="6">
        <v>7000</v>
      </c>
      <c r="J454" s="6">
        <v>56000</v>
      </c>
      <c r="K454" t="str" cm="1">
        <f t="array" ref="K454">_xlfn.IFS(J454&lt;30000,"Low Value",J454&lt;=100000,"Medium Value",J454&gt;100000,"High Value")</f>
        <v>Medium Value</v>
      </c>
      <c r="L454" s="4" t="s">
        <v>43</v>
      </c>
      <c r="M454" s="4" t="s">
        <v>24</v>
      </c>
      <c r="N454" s="4" t="str">
        <f t="shared" si="21"/>
        <v>May</v>
      </c>
      <c r="O454" s="4" t="str">
        <f t="shared" si="22"/>
        <v>Q2</v>
      </c>
      <c r="P454" s="4">
        <f t="shared" si="23"/>
        <v>2025</v>
      </c>
    </row>
    <row r="455" spans="1:16" x14ac:dyDescent="0.25">
      <c r="A455" s="4">
        <v>454</v>
      </c>
      <c r="B455" s="5">
        <v>45927</v>
      </c>
      <c r="C455" s="4" t="s">
        <v>25</v>
      </c>
      <c r="D455" s="4" t="s">
        <v>38</v>
      </c>
      <c r="E455" s="4" t="s">
        <v>491</v>
      </c>
      <c r="F455" s="4" t="s">
        <v>47</v>
      </c>
      <c r="G455" s="4" t="s">
        <v>16</v>
      </c>
      <c r="H455" s="4">
        <v>2</v>
      </c>
      <c r="I455" s="6">
        <v>9000</v>
      </c>
      <c r="J455" s="6">
        <v>18000</v>
      </c>
      <c r="K455" t="str" cm="1">
        <f t="array" ref="K455">_xlfn.IFS(J455&lt;30000,"Low Value",J455&lt;=100000,"Medium Value",J455&gt;100000,"High Value")</f>
        <v>Low Value</v>
      </c>
      <c r="L455" s="4" t="s">
        <v>33</v>
      </c>
      <c r="M455" s="4" t="s">
        <v>24</v>
      </c>
      <c r="N455" s="4" t="str">
        <f t="shared" si="21"/>
        <v>September</v>
      </c>
      <c r="O455" s="4" t="str">
        <f t="shared" si="22"/>
        <v>Q3</v>
      </c>
      <c r="P455" s="4">
        <f t="shared" si="23"/>
        <v>2025</v>
      </c>
    </row>
    <row r="456" spans="1:16" x14ac:dyDescent="0.25">
      <c r="A456" s="4">
        <v>455</v>
      </c>
      <c r="B456" s="5">
        <v>45714</v>
      </c>
      <c r="C456" s="4" t="s">
        <v>34</v>
      </c>
      <c r="D456" s="4" t="s">
        <v>20</v>
      </c>
      <c r="E456" s="4" t="s">
        <v>492</v>
      </c>
      <c r="F456" s="4" t="s">
        <v>28</v>
      </c>
      <c r="G456" s="4" t="s">
        <v>29</v>
      </c>
      <c r="H456" s="4">
        <v>10</v>
      </c>
      <c r="I456" s="6">
        <v>3500</v>
      </c>
      <c r="J456" s="6">
        <v>35000</v>
      </c>
      <c r="K456" t="str" cm="1">
        <f t="array" ref="K456">_xlfn.IFS(J456&lt;30000,"Low Value",J456&lt;=100000,"Medium Value",J456&gt;100000,"High Value")</f>
        <v>Medium Value</v>
      </c>
      <c r="L456" s="4" t="s">
        <v>43</v>
      </c>
      <c r="M456" s="4" t="s">
        <v>24</v>
      </c>
      <c r="N456" s="4" t="str">
        <f t="shared" si="21"/>
        <v>February</v>
      </c>
      <c r="O456" s="4" t="str">
        <f t="shared" si="22"/>
        <v>Q1</v>
      </c>
      <c r="P456" s="4">
        <f t="shared" si="23"/>
        <v>2025</v>
      </c>
    </row>
    <row r="457" spans="1:16" x14ac:dyDescent="0.25">
      <c r="A457" s="4">
        <v>456</v>
      </c>
      <c r="B457" s="5">
        <v>45695</v>
      </c>
      <c r="C457" s="4" t="s">
        <v>48</v>
      </c>
      <c r="D457" s="4" t="s">
        <v>85</v>
      </c>
      <c r="E457" s="4" t="s">
        <v>493</v>
      </c>
      <c r="F457" s="4" t="s">
        <v>28</v>
      </c>
      <c r="G457" s="4" t="s">
        <v>29</v>
      </c>
      <c r="H457" s="4">
        <v>5</v>
      </c>
      <c r="I457" s="6">
        <v>3500</v>
      </c>
      <c r="J457" s="6">
        <v>17500</v>
      </c>
      <c r="K457" t="str" cm="1">
        <f t="array" ref="K457">_xlfn.IFS(J457&lt;30000,"Low Value",J457&lt;=100000,"Medium Value",J457&gt;100000,"High Value")</f>
        <v>Low Value</v>
      </c>
      <c r="L457" s="4" t="s">
        <v>43</v>
      </c>
      <c r="M457" s="4" t="s">
        <v>24</v>
      </c>
      <c r="N457" s="4" t="str">
        <f t="shared" si="21"/>
        <v>February</v>
      </c>
      <c r="O457" s="4" t="str">
        <f t="shared" si="22"/>
        <v>Q1</v>
      </c>
      <c r="P457" s="4">
        <f t="shared" si="23"/>
        <v>2025</v>
      </c>
    </row>
    <row r="458" spans="1:16" x14ac:dyDescent="0.25">
      <c r="A458" s="4">
        <v>457</v>
      </c>
      <c r="B458" s="5">
        <v>45809</v>
      </c>
      <c r="C458" s="4" t="s">
        <v>34</v>
      </c>
      <c r="D458" s="4" t="s">
        <v>97</v>
      </c>
      <c r="E458" s="4" t="s">
        <v>494</v>
      </c>
      <c r="F458" s="4" t="s">
        <v>47</v>
      </c>
      <c r="G458" s="4" t="s">
        <v>16</v>
      </c>
      <c r="H458" s="4">
        <v>10</v>
      </c>
      <c r="I458" s="6">
        <v>9000</v>
      </c>
      <c r="J458" s="6">
        <v>90000</v>
      </c>
      <c r="K458" t="str" cm="1">
        <f t="array" ref="K458">_xlfn.IFS(J458&lt;30000,"Low Value",J458&lt;=100000,"Medium Value",J458&gt;100000,"High Value")</f>
        <v>Medium Value</v>
      </c>
      <c r="L458" s="4" t="s">
        <v>17</v>
      </c>
      <c r="M458" s="4" t="s">
        <v>24</v>
      </c>
      <c r="N458" s="4" t="str">
        <f t="shared" si="21"/>
        <v>June</v>
      </c>
      <c r="O458" s="4" t="str">
        <f t="shared" si="22"/>
        <v>Q2</v>
      </c>
      <c r="P458" s="4">
        <f t="shared" si="23"/>
        <v>2025</v>
      </c>
    </row>
    <row r="459" spans="1:16" x14ac:dyDescent="0.25">
      <c r="A459" s="4">
        <v>458</v>
      </c>
      <c r="B459" s="5">
        <v>45862</v>
      </c>
      <c r="C459" s="4" t="s">
        <v>34</v>
      </c>
      <c r="D459" s="4" t="s">
        <v>52</v>
      </c>
      <c r="E459" s="4" t="s">
        <v>495</v>
      </c>
      <c r="F459" s="4" t="s">
        <v>40</v>
      </c>
      <c r="G459" s="4" t="s">
        <v>16</v>
      </c>
      <c r="H459" s="4">
        <v>2</v>
      </c>
      <c r="I459" s="6">
        <v>500</v>
      </c>
      <c r="J459" s="6">
        <v>1000</v>
      </c>
      <c r="K459" t="str" cm="1">
        <f t="array" ref="K459">_xlfn.IFS(J459&lt;30000,"Low Value",J459&lt;=100000,"Medium Value",J459&gt;100000,"High Value")</f>
        <v>Low Value</v>
      </c>
      <c r="L459" s="4" t="s">
        <v>33</v>
      </c>
      <c r="M459" s="4" t="s">
        <v>24</v>
      </c>
      <c r="N459" s="4" t="str">
        <f t="shared" si="21"/>
        <v>July</v>
      </c>
      <c r="O459" s="4" t="str">
        <f t="shared" si="22"/>
        <v>Q3</v>
      </c>
      <c r="P459" s="4">
        <f t="shared" si="23"/>
        <v>2025</v>
      </c>
    </row>
    <row r="460" spans="1:16" x14ac:dyDescent="0.25">
      <c r="A460" s="4">
        <v>459</v>
      </c>
      <c r="B460" s="5">
        <v>45918</v>
      </c>
      <c r="C460" s="4" t="s">
        <v>25</v>
      </c>
      <c r="D460" s="4" t="s">
        <v>36</v>
      </c>
      <c r="E460" s="4" t="s">
        <v>496</v>
      </c>
      <c r="F460" s="4" t="s">
        <v>47</v>
      </c>
      <c r="G460" s="4" t="s">
        <v>16</v>
      </c>
      <c r="H460" s="4">
        <v>7</v>
      </c>
      <c r="I460" s="6">
        <v>9000</v>
      </c>
      <c r="J460" s="6">
        <v>63000</v>
      </c>
      <c r="K460" t="str" cm="1">
        <f t="array" ref="K460">_xlfn.IFS(J460&lt;30000,"Low Value",J460&lt;=100000,"Medium Value",J460&gt;100000,"High Value")</f>
        <v>Medium Value</v>
      </c>
      <c r="L460" s="4" t="s">
        <v>23</v>
      </c>
      <c r="M460" s="4" t="s">
        <v>24</v>
      </c>
      <c r="N460" s="4" t="str">
        <f t="shared" si="21"/>
        <v>September</v>
      </c>
      <c r="O460" s="4" t="str">
        <f t="shared" si="22"/>
        <v>Q3</v>
      </c>
      <c r="P460" s="4">
        <f t="shared" si="23"/>
        <v>2025</v>
      </c>
    </row>
    <row r="461" spans="1:16" x14ac:dyDescent="0.25">
      <c r="A461" s="4">
        <v>460</v>
      </c>
      <c r="B461" s="5">
        <v>45765</v>
      </c>
      <c r="C461" s="4" t="s">
        <v>34</v>
      </c>
      <c r="D461" s="4" t="s">
        <v>26</v>
      </c>
      <c r="E461" s="4" t="s">
        <v>109</v>
      </c>
      <c r="F461" s="4" t="s">
        <v>22</v>
      </c>
      <c r="G461" s="4" t="s">
        <v>16</v>
      </c>
      <c r="H461" s="4">
        <v>4</v>
      </c>
      <c r="I461" s="6">
        <v>1200</v>
      </c>
      <c r="J461" s="6">
        <v>4800</v>
      </c>
      <c r="K461" t="str" cm="1">
        <f t="array" ref="K461">_xlfn.IFS(J461&lt;30000,"Low Value",J461&lt;=100000,"Medium Value",J461&gt;100000,"High Value")</f>
        <v>Low Value</v>
      </c>
      <c r="L461" s="4" t="s">
        <v>33</v>
      </c>
      <c r="M461" s="4" t="s">
        <v>54</v>
      </c>
      <c r="N461" s="4" t="str">
        <f t="shared" si="21"/>
        <v>April</v>
      </c>
      <c r="O461" s="4" t="str">
        <f t="shared" si="22"/>
        <v>Q2</v>
      </c>
      <c r="P461" s="4">
        <f t="shared" si="23"/>
        <v>2025</v>
      </c>
    </row>
    <row r="462" spans="1:16" x14ac:dyDescent="0.25">
      <c r="A462" s="4">
        <v>461</v>
      </c>
      <c r="B462" s="5">
        <v>45956</v>
      </c>
      <c r="C462" s="4" t="s">
        <v>12</v>
      </c>
      <c r="D462" s="4" t="s">
        <v>92</v>
      </c>
      <c r="E462" s="4" t="s">
        <v>497</v>
      </c>
      <c r="F462" s="4" t="s">
        <v>15</v>
      </c>
      <c r="G462" s="4" t="s">
        <v>16</v>
      </c>
      <c r="H462" s="4">
        <v>8</v>
      </c>
      <c r="I462" s="6">
        <v>55000</v>
      </c>
      <c r="J462" s="6">
        <v>440000</v>
      </c>
      <c r="K462" t="str" cm="1">
        <f t="array" ref="K462">_xlfn.IFS(J462&lt;30000,"Low Value",J462&lt;=100000,"Medium Value",J462&gt;100000,"High Value")</f>
        <v>High Value</v>
      </c>
      <c r="L462" s="4" t="s">
        <v>23</v>
      </c>
      <c r="M462" s="4" t="s">
        <v>18</v>
      </c>
      <c r="N462" s="4" t="str">
        <f t="shared" si="21"/>
        <v>October</v>
      </c>
      <c r="O462" s="4" t="str">
        <f t="shared" si="22"/>
        <v>Q4</v>
      </c>
      <c r="P462" s="4">
        <f t="shared" si="23"/>
        <v>2025</v>
      </c>
    </row>
    <row r="463" spans="1:16" x14ac:dyDescent="0.25">
      <c r="A463" s="4">
        <v>462</v>
      </c>
      <c r="B463" s="5">
        <v>46002</v>
      </c>
      <c r="C463" s="4" t="s">
        <v>25</v>
      </c>
      <c r="D463" s="4" t="s">
        <v>66</v>
      </c>
      <c r="E463" s="4" t="s">
        <v>498</v>
      </c>
      <c r="F463" s="4" t="s">
        <v>40</v>
      </c>
      <c r="G463" s="4" t="s">
        <v>16</v>
      </c>
      <c r="H463" s="4">
        <v>9</v>
      </c>
      <c r="I463" s="6">
        <v>500</v>
      </c>
      <c r="J463" s="6">
        <v>4500</v>
      </c>
      <c r="K463" t="str" cm="1">
        <f t="array" ref="K463">_xlfn.IFS(J463&lt;30000,"Low Value",J463&lt;=100000,"Medium Value",J463&gt;100000,"High Value")</f>
        <v>Low Value</v>
      </c>
      <c r="L463" s="4" t="s">
        <v>33</v>
      </c>
      <c r="M463" s="4" t="s">
        <v>24</v>
      </c>
      <c r="N463" s="4" t="str">
        <f t="shared" si="21"/>
        <v>December</v>
      </c>
      <c r="O463" s="4" t="str">
        <f t="shared" si="22"/>
        <v>Q4</v>
      </c>
      <c r="P463" s="4">
        <f t="shared" si="23"/>
        <v>2025</v>
      </c>
    </row>
    <row r="464" spans="1:16" x14ac:dyDescent="0.25">
      <c r="A464" s="4">
        <v>463</v>
      </c>
      <c r="B464" s="5">
        <v>45870</v>
      </c>
      <c r="C464" s="4" t="s">
        <v>48</v>
      </c>
      <c r="D464" s="4" t="s">
        <v>38</v>
      </c>
      <c r="E464" s="4" t="s">
        <v>499</v>
      </c>
      <c r="F464" s="4" t="s">
        <v>28</v>
      </c>
      <c r="G464" s="4" t="s">
        <v>29</v>
      </c>
      <c r="H464" s="4">
        <v>2</v>
      </c>
      <c r="I464" s="6">
        <v>3500</v>
      </c>
      <c r="J464" s="6">
        <v>7000</v>
      </c>
      <c r="K464" t="str" cm="1">
        <f t="array" ref="K464">_xlfn.IFS(J464&lt;30000,"Low Value",J464&lt;=100000,"Medium Value",J464&gt;100000,"High Value")</f>
        <v>Low Value</v>
      </c>
      <c r="L464" s="4" t="s">
        <v>17</v>
      </c>
      <c r="M464" s="4" t="s">
        <v>24</v>
      </c>
      <c r="N464" s="4" t="str">
        <f t="shared" si="21"/>
        <v>August</v>
      </c>
      <c r="O464" s="4" t="str">
        <f t="shared" si="22"/>
        <v>Q3</v>
      </c>
      <c r="P464" s="4">
        <f t="shared" si="23"/>
        <v>2025</v>
      </c>
    </row>
    <row r="465" spans="1:16" x14ac:dyDescent="0.25">
      <c r="A465" s="4">
        <v>464</v>
      </c>
      <c r="B465" s="5">
        <v>45834</v>
      </c>
      <c r="C465" s="4" t="s">
        <v>34</v>
      </c>
      <c r="D465" s="4" t="s">
        <v>59</v>
      </c>
      <c r="E465" s="4" t="s">
        <v>500</v>
      </c>
      <c r="F465" s="4" t="s">
        <v>47</v>
      </c>
      <c r="G465" s="4" t="s">
        <v>16</v>
      </c>
      <c r="H465" s="4">
        <v>5</v>
      </c>
      <c r="I465" s="6">
        <v>9000</v>
      </c>
      <c r="J465" s="6">
        <v>45000</v>
      </c>
      <c r="K465" t="str" cm="1">
        <f t="array" ref="K465">_xlfn.IFS(J465&lt;30000,"Low Value",J465&lt;=100000,"Medium Value",J465&gt;100000,"High Value")</f>
        <v>Medium Value</v>
      </c>
      <c r="L465" s="4" t="s">
        <v>23</v>
      </c>
      <c r="M465" s="4" t="s">
        <v>18</v>
      </c>
      <c r="N465" s="4" t="str">
        <f t="shared" si="21"/>
        <v>June</v>
      </c>
      <c r="O465" s="4" t="str">
        <f t="shared" si="22"/>
        <v>Q2</v>
      </c>
      <c r="P465" s="4">
        <f t="shared" si="23"/>
        <v>2025</v>
      </c>
    </row>
    <row r="466" spans="1:16" x14ac:dyDescent="0.25">
      <c r="A466" s="4">
        <v>465</v>
      </c>
      <c r="B466" s="5">
        <v>45660</v>
      </c>
      <c r="C466" s="4" t="s">
        <v>25</v>
      </c>
      <c r="D466" s="4" t="s">
        <v>55</v>
      </c>
      <c r="E466" s="4" t="s">
        <v>501</v>
      </c>
      <c r="F466" s="4" t="s">
        <v>15</v>
      </c>
      <c r="G466" s="4" t="s">
        <v>16</v>
      </c>
      <c r="H466" s="4">
        <v>9</v>
      </c>
      <c r="I466" s="6">
        <v>55000</v>
      </c>
      <c r="J466" s="6">
        <v>495000</v>
      </c>
      <c r="K466" t="str" cm="1">
        <f t="array" ref="K466">_xlfn.IFS(J466&lt;30000,"Low Value",J466&lt;=100000,"Medium Value",J466&gt;100000,"High Value")</f>
        <v>High Value</v>
      </c>
      <c r="L466" s="4" t="s">
        <v>43</v>
      </c>
      <c r="M466" s="4" t="s">
        <v>24</v>
      </c>
      <c r="N466" s="4" t="str">
        <f t="shared" si="21"/>
        <v>January</v>
      </c>
      <c r="O466" s="4" t="str">
        <f t="shared" si="22"/>
        <v>Q1</v>
      </c>
      <c r="P466" s="4">
        <f t="shared" si="23"/>
        <v>2025</v>
      </c>
    </row>
    <row r="467" spans="1:16" x14ac:dyDescent="0.25">
      <c r="A467" s="4">
        <v>466</v>
      </c>
      <c r="B467" s="5">
        <v>46013</v>
      </c>
      <c r="C467" s="4" t="s">
        <v>34</v>
      </c>
      <c r="D467" s="4" t="s">
        <v>66</v>
      </c>
      <c r="E467" s="4" t="s">
        <v>502</v>
      </c>
      <c r="F467" s="4" t="s">
        <v>28</v>
      </c>
      <c r="G467" s="4" t="s">
        <v>29</v>
      </c>
      <c r="H467" s="4">
        <v>4</v>
      </c>
      <c r="I467" s="6">
        <v>3500</v>
      </c>
      <c r="J467" s="6">
        <v>14000</v>
      </c>
      <c r="K467" t="str" cm="1">
        <f t="array" ref="K467">_xlfn.IFS(J467&lt;30000,"Low Value",J467&lt;=100000,"Medium Value",J467&gt;100000,"High Value")</f>
        <v>Low Value</v>
      </c>
      <c r="L467" s="4" t="s">
        <v>43</v>
      </c>
      <c r="M467" s="4" t="s">
        <v>24</v>
      </c>
      <c r="N467" s="4" t="str">
        <f t="shared" si="21"/>
        <v>December</v>
      </c>
      <c r="O467" s="4" t="str">
        <f t="shared" si="22"/>
        <v>Q4</v>
      </c>
      <c r="P467" s="4">
        <f t="shared" si="23"/>
        <v>2025</v>
      </c>
    </row>
    <row r="468" spans="1:16" x14ac:dyDescent="0.25">
      <c r="A468" s="4">
        <v>467</v>
      </c>
      <c r="B468" s="5">
        <v>45923</v>
      </c>
      <c r="C468" s="4" t="s">
        <v>34</v>
      </c>
      <c r="D468" s="4" t="s">
        <v>13</v>
      </c>
      <c r="E468" s="4" t="s">
        <v>503</v>
      </c>
      <c r="F468" s="4" t="s">
        <v>32</v>
      </c>
      <c r="G468" s="4" t="s">
        <v>29</v>
      </c>
      <c r="H468" s="4">
        <v>1</v>
      </c>
      <c r="I468" s="6">
        <v>7000</v>
      </c>
      <c r="J468" s="6">
        <v>7000</v>
      </c>
      <c r="K468" t="str" cm="1">
        <f t="array" ref="K468">_xlfn.IFS(J468&lt;30000,"Low Value",J468&lt;=100000,"Medium Value",J468&gt;100000,"High Value")</f>
        <v>Low Value</v>
      </c>
      <c r="L468" s="4" t="s">
        <v>17</v>
      </c>
      <c r="M468" s="4" t="s">
        <v>24</v>
      </c>
      <c r="N468" s="4" t="str">
        <f t="shared" si="21"/>
        <v>September</v>
      </c>
      <c r="O468" s="4" t="str">
        <f t="shared" si="22"/>
        <v>Q3</v>
      </c>
      <c r="P468" s="4">
        <f t="shared" si="23"/>
        <v>2025</v>
      </c>
    </row>
    <row r="469" spans="1:16" x14ac:dyDescent="0.25">
      <c r="A469" s="4">
        <v>468</v>
      </c>
      <c r="B469" s="5">
        <v>45950</v>
      </c>
      <c r="C469" s="4" t="s">
        <v>34</v>
      </c>
      <c r="D469" s="4" t="s">
        <v>30</v>
      </c>
      <c r="E469" s="4" t="s">
        <v>504</v>
      </c>
      <c r="F469" s="4" t="s">
        <v>40</v>
      </c>
      <c r="G469" s="4" t="s">
        <v>16</v>
      </c>
      <c r="H469" s="4">
        <v>1</v>
      </c>
      <c r="I469" s="6">
        <v>500</v>
      </c>
      <c r="J469" s="6">
        <v>500</v>
      </c>
      <c r="K469" t="str" cm="1">
        <f t="array" ref="K469">_xlfn.IFS(J469&lt;30000,"Low Value",J469&lt;=100000,"Medium Value",J469&gt;100000,"High Value")</f>
        <v>Low Value</v>
      </c>
      <c r="L469" s="4" t="s">
        <v>17</v>
      </c>
      <c r="M469" s="4" t="s">
        <v>24</v>
      </c>
      <c r="N469" s="4" t="str">
        <f t="shared" si="21"/>
        <v>October</v>
      </c>
      <c r="O469" s="4" t="str">
        <f t="shared" si="22"/>
        <v>Q4</v>
      </c>
      <c r="P469" s="4">
        <f t="shared" si="23"/>
        <v>2025</v>
      </c>
    </row>
    <row r="470" spans="1:16" x14ac:dyDescent="0.25">
      <c r="A470" s="4">
        <v>469</v>
      </c>
      <c r="B470" s="5">
        <v>45674</v>
      </c>
      <c r="C470" s="4" t="s">
        <v>12</v>
      </c>
      <c r="D470" s="4" t="s">
        <v>13</v>
      </c>
      <c r="E470" s="4" t="s">
        <v>505</v>
      </c>
      <c r="F470" s="4" t="s">
        <v>28</v>
      </c>
      <c r="G470" s="4" t="s">
        <v>29</v>
      </c>
      <c r="H470" s="4">
        <v>10</v>
      </c>
      <c r="I470" s="6">
        <v>3500</v>
      </c>
      <c r="J470" s="6">
        <v>35000</v>
      </c>
      <c r="K470" t="str" cm="1">
        <f t="array" ref="K470">_xlfn.IFS(J470&lt;30000,"Low Value",J470&lt;=100000,"Medium Value",J470&gt;100000,"High Value")</f>
        <v>Medium Value</v>
      </c>
      <c r="L470" s="4" t="s">
        <v>17</v>
      </c>
      <c r="M470" s="4" t="s">
        <v>54</v>
      </c>
      <c r="N470" s="4" t="str">
        <f t="shared" si="21"/>
        <v>January</v>
      </c>
      <c r="O470" s="4" t="str">
        <f t="shared" si="22"/>
        <v>Q1</v>
      </c>
      <c r="P470" s="4">
        <f t="shared" si="23"/>
        <v>2025</v>
      </c>
    </row>
    <row r="471" spans="1:16" x14ac:dyDescent="0.25">
      <c r="A471" s="4">
        <v>470</v>
      </c>
      <c r="B471" s="5">
        <v>45996</v>
      </c>
      <c r="C471" s="4" t="s">
        <v>48</v>
      </c>
      <c r="D471" s="4" t="s">
        <v>121</v>
      </c>
      <c r="E471" s="4" t="s">
        <v>506</v>
      </c>
      <c r="F471" s="4" t="s">
        <v>22</v>
      </c>
      <c r="G471" s="4" t="s">
        <v>16</v>
      </c>
      <c r="H471" s="4">
        <v>8</v>
      </c>
      <c r="I471" s="6">
        <v>1200</v>
      </c>
      <c r="J471" s="6">
        <v>9600</v>
      </c>
      <c r="K471" t="str" cm="1">
        <f t="array" ref="K471">_xlfn.IFS(J471&lt;30000,"Low Value",J471&lt;=100000,"Medium Value",J471&gt;100000,"High Value")</f>
        <v>Low Value</v>
      </c>
      <c r="L471" s="4" t="s">
        <v>43</v>
      </c>
      <c r="M471" s="4" t="s">
        <v>54</v>
      </c>
      <c r="N471" s="4" t="str">
        <f t="shared" si="21"/>
        <v>December</v>
      </c>
      <c r="O471" s="4" t="str">
        <f t="shared" si="22"/>
        <v>Q4</v>
      </c>
      <c r="P471" s="4">
        <f t="shared" si="23"/>
        <v>2025</v>
      </c>
    </row>
    <row r="472" spans="1:16" x14ac:dyDescent="0.25">
      <c r="A472" s="4">
        <v>471</v>
      </c>
      <c r="B472" s="5">
        <v>45673</v>
      </c>
      <c r="C472" s="4" t="s">
        <v>48</v>
      </c>
      <c r="D472" s="4" t="s">
        <v>97</v>
      </c>
      <c r="E472" s="4" t="s">
        <v>507</v>
      </c>
      <c r="F472" s="4" t="s">
        <v>15</v>
      </c>
      <c r="G472" s="4" t="s">
        <v>16</v>
      </c>
      <c r="H472" s="4">
        <v>7</v>
      </c>
      <c r="I472" s="6">
        <v>55000</v>
      </c>
      <c r="J472" s="6">
        <v>385000</v>
      </c>
      <c r="K472" t="str" cm="1">
        <f t="array" ref="K472">_xlfn.IFS(J472&lt;30000,"Low Value",J472&lt;=100000,"Medium Value",J472&gt;100000,"High Value")</f>
        <v>High Value</v>
      </c>
      <c r="L472" s="4" t="s">
        <v>43</v>
      </c>
      <c r="M472" s="4" t="s">
        <v>24</v>
      </c>
      <c r="N472" s="4" t="str">
        <f t="shared" si="21"/>
        <v>January</v>
      </c>
      <c r="O472" s="4" t="str">
        <f t="shared" si="22"/>
        <v>Q1</v>
      </c>
      <c r="P472" s="4">
        <f t="shared" si="23"/>
        <v>2025</v>
      </c>
    </row>
    <row r="473" spans="1:16" x14ac:dyDescent="0.25">
      <c r="A473" s="4">
        <v>472</v>
      </c>
      <c r="B473" s="5">
        <v>45953</v>
      </c>
      <c r="C473" s="4" t="s">
        <v>12</v>
      </c>
      <c r="D473" s="4" t="s">
        <v>44</v>
      </c>
      <c r="E473" s="4" t="s">
        <v>508</v>
      </c>
      <c r="F473" s="4" t="s">
        <v>15</v>
      </c>
      <c r="G473" s="4" t="s">
        <v>16</v>
      </c>
      <c r="H473" s="4">
        <v>10</v>
      </c>
      <c r="I473" s="6">
        <v>55000</v>
      </c>
      <c r="J473" s="6">
        <v>550000</v>
      </c>
      <c r="K473" t="str" cm="1">
        <f t="array" ref="K473">_xlfn.IFS(J473&lt;30000,"Low Value",J473&lt;=100000,"Medium Value",J473&gt;100000,"High Value")</f>
        <v>High Value</v>
      </c>
      <c r="L473" s="4" t="s">
        <v>23</v>
      </c>
      <c r="M473" s="4" t="s">
        <v>24</v>
      </c>
      <c r="N473" s="4" t="str">
        <f t="shared" si="21"/>
        <v>October</v>
      </c>
      <c r="O473" s="4" t="str">
        <f t="shared" si="22"/>
        <v>Q4</v>
      </c>
      <c r="P473" s="4">
        <f t="shared" si="23"/>
        <v>2025</v>
      </c>
    </row>
    <row r="474" spans="1:16" x14ac:dyDescent="0.25">
      <c r="A474" s="4">
        <v>473</v>
      </c>
      <c r="B474" s="5">
        <v>45948</v>
      </c>
      <c r="C474" s="4" t="s">
        <v>12</v>
      </c>
      <c r="D474" s="4" t="s">
        <v>36</v>
      </c>
      <c r="E474" s="4" t="s">
        <v>509</v>
      </c>
      <c r="F474" s="4" t="s">
        <v>40</v>
      </c>
      <c r="G474" s="4" t="s">
        <v>16</v>
      </c>
      <c r="H474" s="4">
        <v>5</v>
      </c>
      <c r="I474" s="6">
        <v>500</v>
      </c>
      <c r="J474" s="6">
        <v>2500</v>
      </c>
      <c r="K474" t="str" cm="1">
        <f t="array" ref="K474">_xlfn.IFS(J474&lt;30000,"Low Value",J474&lt;=100000,"Medium Value",J474&gt;100000,"High Value")</f>
        <v>Low Value</v>
      </c>
      <c r="L474" s="4" t="s">
        <v>23</v>
      </c>
      <c r="M474" s="4" t="s">
        <v>24</v>
      </c>
      <c r="N474" s="4" t="str">
        <f t="shared" si="21"/>
        <v>October</v>
      </c>
      <c r="O474" s="4" t="str">
        <f t="shared" si="22"/>
        <v>Q4</v>
      </c>
      <c r="P474" s="4">
        <f t="shared" si="23"/>
        <v>2025</v>
      </c>
    </row>
    <row r="475" spans="1:16" x14ac:dyDescent="0.25">
      <c r="A475" s="4">
        <v>474</v>
      </c>
      <c r="B475" s="5">
        <v>45764</v>
      </c>
      <c r="C475" s="4" t="s">
        <v>12</v>
      </c>
      <c r="D475" s="4" t="s">
        <v>49</v>
      </c>
      <c r="E475" s="4" t="s">
        <v>510</v>
      </c>
      <c r="F475" s="4" t="s">
        <v>40</v>
      </c>
      <c r="G475" s="4" t="s">
        <v>16</v>
      </c>
      <c r="H475" s="4">
        <v>9</v>
      </c>
      <c r="I475" s="6">
        <v>500</v>
      </c>
      <c r="J475" s="6">
        <v>4500</v>
      </c>
      <c r="K475" t="str" cm="1">
        <f t="array" ref="K475">_xlfn.IFS(J475&lt;30000,"Low Value",J475&lt;=100000,"Medium Value",J475&gt;100000,"High Value")</f>
        <v>Low Value</v>
      </c>
      <c r="L475" s="4" t="s">
        <v>33</v>
      </c>
      <c r="M475" s="4" t="s">
        <v>24</v>
      </c>
      <c r="N475" s="4" t="str">
        <f t="shared" si="21"/>
        <v>April</v>
      </c>
      <c r="O475" s="4" t="str">
        <f t="shared" si="22"/>
        <v>Q2</v>
      </c>
      <c r="P475" s="4">
        <f t="shared" si="23"/>
        <v>2025</v>
      </c>
    </row>
    <row r="476" spans="1:16" x14ac:dyDescent="0.25">
      <c r="A476" s="4">
        <v>475</v>
      </c>
      <c r="B476" s="5">
        <v>45695</v>
      </c>
      <c r="C476" s="4" t="s">
        <v>19</v>
      </c>
      <c r="D476" s="4" t="s">
        <v>92</v>
      </c>
      <c r="E476" s="4" t="s">
        <v>511</v>
      </c>
      <c r="F476" s="4" t="s">
        <v>15</v>
      </c>
      <c r="G476" s="4" t="s">
        <v>16</v>
      </c>
      <c r="H476" s="4">
        <v>5</v>
      </c>
      <c r="I476" s="6">
        <v>55000</v>
      </c>
      <c r="J476" s="6">
        <v>275000</v>
      </c>
      <c r="K476" t="str" cm="1">
        <f t="array" ref="K476">_xlfn.IFS(J476&lt;30000,"Low Value",J476&lt;=100000,"Medium Value",J476&gt;100000,"High Value")</f>
        <v>High Value</v>
      </c>
      <c r="L476" s="4" t="s">
        <v>33</v>
      </c>
      <c r="M476" s="4" t="s">
        <v>18</v>
      </c>
      <c r="N476" s="4" t="str">
        <f t="shared" si="21"/>
        <v>February</v>
      </c>
      <c r="O476" s="4" t="str">
        <f t="shared" si="22"/>
        <v>Q1</v>
      </c>
      <c r="P476" s="4">
        <f t="shared" si="23"/>
        <v>2025</v>
      </c>
    </row>
    <row r="477" spans="1:16" x14ac:dyDescent="0.25">
      <c r="A477" s="4">
        <v>476</v>
      </c>
      <c r="B477" s="5">
        <v>45713</v>
      </c>
      <c r="C477" s="4" t="s">
        <v>12</v>
      </c>
      <c r="D477" s="4" t="s">
        <v>97</v>
      </c>
      <c r="E477" s="4" t="s">
        <v>512</v>
      </c>
      <c r="F477" s="4" t="s">
        <v>15</v>
      </c>
      <c r="G477" s="4" t="s">
        <v>16</v>
      </c>
      <c r="H477" s="4">
        <v>7</v>
      </c>
      <c r="I477" s="6">
        <v>55000</v>
      </c>
      <c r="J477" s="6">
        <v>385000</v>
      </c>
      <c r="K477" t="str" cm="1">
        <f t="array" ref="K477">_xlfn.IFS(J477&lt;30000,"Low Value",J477&lt;=100000,"Medium Value",J477&gt;100000,"High Value")</f>
        <v>High Value</v>
      </c>
      <c r="L477" s="4" t="s">
        <v>33</v>
      </c>
      <c r="M477" s="4" t="s">
        <v>24</v>
      </c>
      <c r="N477" s="4" t="str">
        <f t="shared" si="21"/>
        <v>February</v>
      </c>
      <c r="O477" s="4" t="str">
        <f t="shared" si="22"/>
        <v>Q1</v>
      </c>
      <c r="P477" s="4">
        <f t="shared" si="23"/>
        <v>2025</v>
      </c>
    </row>
    <row r="478" spans="1:16" x14ac:dyDescent="0.25">
      <c r="A478" s="4">
        <v>477</v>
      </c>
      <c r="B478" s="5">
        <v>46004</v>
      </c>
      <c r="C478" s="4" t="s">
        <v>48</v>
      </c>
      <c r="D478" s="4" t="s">
        <v>26</v>
      </c>
      <c r="E478" s="4" t="s">
        <v>513</v>
      </c>
      <c r="F478" s="4" t="s">
        <v>40</v>
      </c>
      <c r="G478" s="4" t="s">
        <v>16</v>
      </c>
      <c r="H478" s="4">
        <v>7</v>
      </c>
      <c r="I478" s="6">
        <v>500</v>
      </c>
      <c r="J478" s="6">
        <v>3500</v>
      </c>
      <c r="K478" t="str" cm="1">
        <f t="array" ref="K478">_xlfn.IFS(J478&lt;30000,"Low Value",J478&lt;=100000,"Medium Value",J478&gt;100000,"High Value")</f>
        <v>Low Value</v>
      </c>
      <c r="L478" s="4" t="s">
        <v>23</v>
      </c>
      <c r="M478" s="4" t="s">
        <v>24</v>
      </c>
      <c r="N478" s="4" t="str">
        <f t="shared" si="21"/>
        <v>December</v>
      </c>
      <c r="O478" s="4" t="str">
        <f t="shared" si="22"/>
        <v>Q4</v>
      </c>
      <c r="P478" s="4">
        <f t="shared" si="23"/>
        <v>2025</v>
      </c>
    </row>
    <row r="479" spans="1:16" x14ac:dyDescent="0.25">
      <c r="A479" s="4">
        <v>478</v>
      </c>
      <c r="B479" s="5">
        <v>45933</v>
      </c>
      <c r="C479" s="4" t="s">
        <v>12</v>
      </c>
      <c r="D479" s="4" t="s">
        <v>55</v>
      </c>
      <c r="E479" s="4" t="s">
        <v>514</v>
      </c>
      <c r="F479" s="4" t="s">
        <v>40</v>
      </c>
      <c r="G479" s="4" t="s">
        <v>16</v>
      </c>
      <c r="H479" s="4">
        <v>4</v>
      </c>
      <c r="I479" s="6">
        <v>500</v>
      </c>
      <c r="J479" s="6">
        <v>2000</v>
      </c>
      <c r="K479" t="str" cm="1">
        <f t="array" ref="K479">_xlfn.IFS(J479&lt;30000,"Low Value",J479&lt;=100000,"Medium Value",J479&gt;100000,"High Value")</f>
        <v>Low Value</v>
      </c>
      <c r="L479" s="4" t="s">
        <v>33</v>
      </c>
      <c r="M479" s="4" t="s">
        <v>54</v>
      </c>
      <c r="N479" s="4" t="str">
        <f t="shared" si="21"/>
        <v>October</v>
      </c>
      <c r="O479" s="4" t="str">
        <f t="shared" si="22"/>
        <v>Q4</v>
      </c>
      <c r="P479" s="4">
        <f t="shared" si="23"/>
        <v>2025</v>
      </c>
    </row>
    <row r="480" spans="1:16" x14ac:dyDescent="0.25">
      <c r="A480" s="4">
        <v>479</v>
      </c>
      <c r="B480" s="5">
        <v>45743</v>
      </c>
      <c r="C480" s="4" t="s">
        <v>48</v>
      </c>
      <c r="D480" s="4" t="s">
        <v>49</v>
      </c>
      <c r="E480" s="4" t="s">
        <v>515</v>
      </c>
      <c r="F480" s="4" t="s">
        <v>32</v>
      </c>
      <c r="G480" s="4" t="s">
        <v>29</v>
      </c>
      <c r="H480" s="4">
        <v>9</v>
      </c>
      <c r="I480" s="6">
        <v>7000</v>
      </c>
      <c r="J480" s="6">
        <v>63000</v>
      </c>
      <c r="K480" t="str" cm="1">
        <f t="array" ref="K480">_xlfn.IFS(J480&lt;30000,"Low Value",J480&lt;=100000,"Medium Value",J480&gt;100000,"High Value")</f>
        <v>Medium Value</v>
      </c>
      <c r="L480" s="4" t="s">
        <v>43</v>
      </c>
      <c r="M480" s="4" t="s">
        <v>24</v>
      </c>
      <c r="N480" s="4" t="str">
        <f t="shared" si="21"/>
        <v>March</v>
      </c>
      <c r="O480" s="4" t="str">
        <f t="shared" si="22"/>
        <v>Q1</v>
      </c>
      <c r="P480" s="4">
        <f t="shared" si="23"/>
        <v>2025</v>
      </c>
    </row>
    <row r="481" spans="1:16" x14ac:dyDescent="0.25">
      <c r="A481" s="4">
        <v>480</v>
      </c>
      <c r="B481" s="5">
        <v>45843</v>
      </c>
      <c r="C481" s="4" t="s">
        <v>19</v>
      </c>
      <c r="D481" s="4" t="s">
        <v>13</v>
      </c>
      <c r="E481" s="4" t="s">
        <v>516</v>
      </c>
      <c r="F481" s="4" t="s">
        <v>22</v>
      </c>
      <c r="G481" s="4" t="s">
        <v>16</v>
      </c>
      <c r="H481" s="4">
        <v>2</v>
      </c>
      <c r="I481" s="6">
        <v>1200</v>
      </c>
      <c r="J481" s="6">
        <v>2400</v>
      </c>
      <c r="K481" t="str" cm="1">
        <f t="array" ref="K481">_xlfn.IFS(J481&lt;30000,"Low Value",J481&lt;=100000,"Medium Value",J481&gt;100000,"High Value")</f>
        <v>Low Value</v>
      </c>
      <c r="L481" s="4" t="s">
        <v>43</v>
      </c>
      <c r="M481" s="4" t="s">
        <v>24</v>
      </c>
      <c r="N481" s="4" t="str">
        <f t="shared" si="21"/>
        <v>July</v>
      </c>
      <c r="O481" s="4" t="str">
        <f t="shared" si="22"/>
        <v>Q3</v>
      </c>
      <c r="P481" s="4">
        <f t="shared" si="23"/>
        <v>2025</v>
      </c>
    </row>
    <row r="482" spans="1:16" x14ac:dyDescent="0.25">
      <c r="A482" s="4">
        <v>481</v>
      </c>
      <c r="B482" s="5">
        <v>45698</v>
      </c>
      <c r="C482" s="4" t="s">
        <v>12</v>
      </c>
      <c r="D482" s="4" t="s">
        <v>55</v>
      </c>
      <c r="E482" s="4" t="s">
        <v>517</v>
      </c>
      <c r="F482" s="4" t="s">
        <v>32</v>
      </c>
      <c r="G482" s="4" t="s">
        <v>29</v>
      </c>
      <c r="H482" s="4">
        <v>1</v>
      </c>
      <c r="I482" s="6">
        <v>7000</v>
      </c>
      <c r="J482" s="6">
        <v>7000</v>
      </c>
      <c r="K482" t="str" cm="1">
        <f t="array" ref="K482">_xlfn.IFS(J482&lt;30000,"Low Value",J482&lt;=100000,"Medium Value",J482&gt;100000,"High Value")</f>
        <v>Low Value</v>
      </c>
      <c r="L482" s="4" t="s">
        <v>43</v>
      </c>
      <c r="M482" s="4" t="s">
        <v>24</v>
      </c>
      <c r="N482" s="4" t="str">
        <f t="shared" si="21"/>
        <v>February</v>
      </c>
      <c r="O482" s="4" t="str">
        <f t="shared" si="22"/>
        <v>Q1</v>
      </c>
      <c r="P482" s="4">
        <f t="shared" si="23"/>
        <v>2025</v>
      </c>
    </row>
    <row r="483" spans="1:16" x14ac:dyDescent="0.25">
      <c r="A483" s="4">
        <v>482</v>
      </c>
      <c r="B483" s="5">
        <v>45931</v>
      </c>
      <c r="C483" s="4" t="s">
        <v>12</v>
      </c>
      <c r="D483" s="4" t="s">
        <v>66</v>
      </c>
      <c r="E483" s="4" t="s">
        <v>518</v>
      </c>
      <c r="F483" s="4" t="s">
        <v>47</v>
      </c>
      <c r="G483" s="4" t="s">
        <v>16</v>
      </c>
      <c r="H483" s="4">
        <v>10</v>
      </c>
      <c r="I483" s="6">
        <v>9000</v>
      </c>
      <c r="J483" s="6">
        <v>90000</v>
      </c>
      <c r="K483" t="str" cm="1">
        <f t="array" ref="K483">_xlfn.IFS(J483&lt;30000,"Low Value",J483&lt;=100000,"Medium Value",J483&gt;100000,"High Value")</f>
        <v>Medium Value</v>
      </c>
      <c r="L483" s="4" t="s">
        <v>43</v>
      </c>
      <c r="M483" s="4" t="s">
        <v>24</v>
      </c>
      <c r="N483" s="4" t="str">
        <f t="shared" si="21"/>
        <v>October</v>
      </c>
      <c r="O483" s="4" t="str">
        <f t="shared" si="22"/>
        <v>Q4</v>
      </c>
      <c r="P483" s="4">
        <f t="shared" si="23"/>
        <v>2025</v>
      </c>
    </row>
    <row r="484" spans="1:16" x14ac:dyDescent="0.25">
      <c r="A484" s="4">
        <v>483</v>
      </c>
      <c r="B484" s="5">
        <v>45749</v>
      </c>
      <c r="C484" s="4" t="s">
        <v>25</v>
      </c>
      <c r="D484" s="4" t="s">
        <v>44</v>
      </c>
      <c r="E484" s="4" t="s">
        <v>519</v>
      </c>
      <c r="F484" s="4" t="s">
        <v>15</v>
      </c>
      <c r="G484" s="4" t="s">
        <v>16</v>
      </c>
      <c r="H484" s="4">
        <v>1</v>
      </c>
      <c r="I484" s="6">
        <v>55000</v>
      </c>
      <c r="J484" s="6">
        <v>55000</v>
      </c>
      <c r="K484" t="str" cm="1">
        <f t="array" ref="K484">_xlfn.IFS(J484&lt;30000,"Low Value",J484&lt;=100000,"Medium Value",J484&gt;100000,"High Value")</f>
        <v>Medium Value</v>
      </c>
      <c r="L484" s="4" t="s">
        <v>33</v>
      </c>
      <c r="M484" s="4" t="s">
        <v>24</v>
      </c>
      <c r="N484" s="4" t="str">
        <f t="shared" si="21"/>
        <v>April</v>
      </c>
      <c r="O484" s="4" t="str">
        <f t="shared" si="22"/>
        <v>Q2</v>
      </c>
      <c r="P484" s="4">
        <f t="shared" si="23"/>
        <v>2025</v>
      </c>
    </row>
    <row r="485" spans="1:16" x14ac:dyDescent="0.25">
      <c r="A485" s="4">
        <v>484</v>
      </c>
      <c r="B485" s="5">
        <v>45682</v>
      </c>
      <c r="C485" s="4" t="s">
        <v>12</v>
      </c>
      <c r="D485" s="4" t="s">
        <v>52</v>
      </c>
      <c r="E485" s="4" t="s">
        <v>520</v>
      </c>
      <c r="F485" s="4" t="s">
        <v>22</v>
      </c>
      <c r="G485" s="4" t="s">
        <v>16</v>
      </c>
      <c r="H485" s="4">
        <v>3</v>
      </c>
      <c r="I485" s="6">
        <v>1200</v>
      </c>
      <c r="J485" s="6">
        <v>3600</v>
      </c>
      <c r="K485" t="str" cm="1">
        <f t="array" ref="K485">_xlfn.IFS(J485&lt;30000,"Low Value",J485&lt;=100000,"Medium Value",J485&gt;100000,"High Value")</f>
        <v>Low Value</v>
      </c>
      <c r="L485" s="4" t="s">
        <v>23</v>
      </c>
      <c r="M485" s="4" t="s">
        <v>24</v>
      </c>
      <c r="N485" s="4" t="str">
        <f t="shared" si="21"/>
        <v>January</v>
      </c>
      <c r="O485" s="4" t="str">
        <f t="shared" si="22"/>
        <v>Q1</v>
      </c>
      <c r="P485" s="4">
        <f t="shared" si="23"/>
        <v>2025</v>
      </c>
    </row>
    <row r="486" spans="1:16" x14ac:dyDescent="0.25">
      <c r="A486" s="4">
        <v>485</v>
      </c>
      <c r="B486" s="5">
        <v>45946</v>
      </c>
      <c r="C486" s="4" t="s">
        <v>19</v>
      </c>
      <c r="D486" s="4" t="s">
        <v>97</v>
      </c>
      <c r="E486" s="4" t="s">
        <v>521</v>
      </c>
      <c r="F486" s="4" t="s">
        <v>22</v>
      </c>
      <c r="G486" s="4" t="s">
        <v>16</v>
      </c>
      <c r="H486" s="4">
        <v>5</v>
      </c>
      <c r="I486" s="6">
        <v>1200</v>
      </c>
      <c r="J486" s="6">
        <v>6000</v>
      </c>
      <c r="K486" t="str" cm="1">
        <f t="array" ref="K486">_xlfn.IFS(J486&lt;30000,"Low Value",J486&lt;=100000,"Medium Value",J486&gt;100000,"High Value")</f>
        <v>Low Value</v>
      </c>
      <c r="L486" s="4" t="s">
        <v>23</v>
      </c>
      <c r="M486" s="4" t="s">
        <v>24</v>
      </c>
      <c r="N486" s="4" t="str">
        <f t="shared" si="21"/>
        <v>October</v>
      </c>
      <c r="O486" s="4" t="str">
        <f t="shared" si="22"/>
        <v>Q4</v>
      </c>
      <c r="P486" s="4">
        <f t="shared" si="23"/>
        <v>2025</v>
      </c>
    </row>
    <row r="487" spans="1:16" x14ac:dyDescent="0.25">
      <c r="A487" s="4">
        <v>486</v>
      </c>
      <c r="B487" s="5">
        <v>45718</v>
      </c>
      <c r="C487" s="4" t="s">
        <v>25</v>
      </c>
      <c r="D487" s="4" t="s">
        <v>71</v>
      </c>
      <c r="E487" s="4" t="s">
        <v>522</v>
      </c>
      <c r="F487" s="4" t="s">
        <v>40</v>
      </c>
      <c r="G487" s="4" t="s">
        <v>16</v>
      </c>
      <c r="H487" s="4">
        <v>2</v>
      </c>
      <c r="I487" s="6">
        <v>500</v>
      </c>
      <c r="J487" s="6">
        <v>1000</v>
      </c>
      <c r="K487" t="str" cm="1">
        <f t="array" ref="K487">_xlfn.IFS(J487&lt;30000,"Low Value",J487&lt;=100000,"Medium Value",J487&gt;100000,"High Value")</f>
        <v>Low Value</v>
      </c>
      <c r="L487" s="4" t="s">
        <v>23</v>
      </c>
      <c r="M487" s="4" t="s">
        <v>24</v>
      </c>
      <c r="N487" s="4" t="str">
        <f t="shared" si="21"/>
        <v>March</v>
      </c>
      <c r="O487" s="4" t="str">
        <f t="shared" si="22"/>
        <v>Q1</v>
      </c>
      <c r="P487" s="4">
        <f t="shared" si="23"/>
        <v>2025</v>
      </c>
    </row>
    <row r="488" spans="1:16" x14ac:dyDescent="0.25">
      <c r="A488" s="4">
        <v>487</v>
      </c>
      <c r="B488" s="5">
        <v>45798</v>
      </c>
      <c r="C488" s="4" t="s">
        <v>34</v>
      </c>
      <c r="D488" s="4" t="s">
        <v>44</v>
      </c>
      <c r="E488" s="4" t="s">
        <v>523</v>
      </c>
      <c r="F488" s="4" t="s">
        <v>28</v>
      </c>
      <c r="G488" s="4" t="s">
        <v>29</v>
      </c>
      <c r="H488" s="4">
        <v>8</v>
      </c>
      <c r="I488" s="6">
        <v>3500</v>
      </c>
      <c r="J488" s="6">
        <v>28000</v>
      </c>
      <c r="K488" t="str" cm="1">
        <f t="array" ref="K488">_xlfn.IFS(J488&lt;30000,"Low Value",J488&lt;=100000,"Medium Value",J488&gt;100000,"High Value")</f>
        <v>Low Value</v>
      </c>
      <c r="L488" s="4" t="s">
        <v>17</v>
      </c>
      <c r="M488" s="4" t="s">
        <v>18</v>
      </c>
      <c r="N488" s="4" t="str">
        <f t="shared" si="21"/>
        <v>May</v>
      </c>
      <c r="O488" s="4" t="str">
        <f t="shared" si="22"/>
        <v>Q2</v>
      </c>
      <c r="P488" s="4">
        <f t="shared" si="23"/>
        <v>2025</v>
      </c>
    </row>
    <row r="489" spans="1:16" x14ac:dyDescent="0.25">
      <c r="A489" s="4">
        <v>488</v>
      </c>
      <c r="B489" s="5">
        <v>45944</v>
      </c>
      <c r="C489" s="4" t="s">
        <v>25</v>
      </c>
      <c r="D489" s="4" t="s">
        <v>38</v>
      </c>
      <c r="E489" s="4" t="s">
        <v>524</v>
      </c>
      <c r="F489" s="4" t="s">
        <v>47</v>
      </c>
      <c r="G489" s="4" t="s">
        <v>16</v>
      </c>
      <c r="H489" s="4">
        <v>9</v>
      </c>
      <c r="I489" s="6">
        <v>9000</v>
      </c>
      <c r="J489" s="6">
        <v>81000</v>
      </c>
      <c r="K489" t="str" cm="1">
        <f t="array" ref="K489">_xlfn.IFS(J489&lt;30000,"Low Value",J489&lt;=100000,"Medium Value",J489&gt;100000,"High Value")</f>
        <v>Medium Value</v>
      </c>
      <c r="L489" s="4" t="s">
        <v>23</v>
      </c>
      <c r="M489" s="4" t="s">
        <v>24</v>
      </c>
      <c r="N489" s="4" t="str">
        <f t="shared" si="21"/>
        <v>October</v>
      </c>
      <c r="O489" s="4" t="str">
        <f t="shared" si="22"/>
        <v>Q4</v>
      </c>
      <c r="P489" s="4">
        <f t="shared" si="23"/>
        <v>2025</v>
      </c>
    </row>
    <row r="490" spans="1:16" x14ac:dyDescent="0.25">
      <c r="A490" s="4">
        <v>489</v>
      </c>
      <c r="B490" s="5">
        <v>45793</v>
      </c>
      <c r="C490" s="4" t="s">
        <v>19</v>
      </c>
      <c r="D490" s="4" t="s">
        <v>71</v>
      </c>
      <c r="E490" s="4" t="s">
        <v>525</v>
      </c>
      <c r="F490" s="4" t="s">
        <v>40</v>
      </c>
      <c r="G490" s="4" t="s">
        <v>16</v>
      </c>
      <c r="H490" s="4">
        <v>2</v>
      </c>
      <c r="I490" s="6">
        <v>500</v>
      </c>
      <c r="J490" s="6">
        <v>1000</v>
      </c>
      <c r="K490" t="str" cm="1">
        <f t="array" ref="K490">_xlfn.IFS(J490&lt;30000,"Low Value",J490&lt;=100000,"Medium Value",J490&gt;100000,"High Value")</f>
        <v>Low Value</v>
      </c>
      <c r="L490" s="4" t="s">
        <v>33</v>
      </c>
      <c r="M490" s="4" t="s">
        <v>24</v>
      </c>
      <c r="N490" s="4" t="str">
        <f t="shared" si="21"/>
        <v>May</v>
      </c>
      <c r="O490" s="4" t="str">
        <f t="shared" si="22"/>
        <v>Q2</v>
      </c>
      <c r="P490" s="4">
        <f t="shared" si="23"/>
        <v>2025</v>
      </c>
    </row>
    <row r="491" spans="1:16" x14ac:dyDescent="0.25">
      <c r="A491" s="4">
        <v>490</v>
      </c>
      <c r="B491" s="5">
        <v>45896</v>
      </c>
      <c r="C491" s="4" t="s">
        <v>12</v>
      </c>
      <c r="D491" s="4" t="s">
        <v>36</v>
      </c>
      <c r="E491" s="4" t="s">
        <v>526</v>
      </c>
      <c r="F491" s="4" t="s">
        <v>15</v>
      </c>
      <c r="G491" s="4" t="s">
        <v>16</v>
      </c>
      <c r="H491" s="4">
        <v>1</v>
      </c>
      <c r="I491" s="6">
        <v>55000</v>
      </c>
      <c r="J491" s="6">
        <v>55000</v>
      </c>
      <c r="K491" t="str" cm="1">
        <f t="array" ref="K491">_xlfn.IFS(J491&lt;30000,"Low Value",J491&lt;=100000,"Medium Value",J491&gt;100000,"High Value")</f>
        <v>Medium Value</v>
      </c>
      <c r="L491" s="4" t="s">
        <v>17</v>
      </c>
      <c r="M491" s="4" t="s">
        <v>24</v>
      </c>
      <c r="N491" s="4" t="str">
        <f t="shared" si="21"/>
        <v>August</v>
      </c>
      <c r="O491" s="4" t="str">
        <f t="shared" si="22"/>
        <v>Q3</v>
      </c>
      <c r="P491" s="4">
        <f t="shared" si="23"/>
        <v>2025</v>
      </c>
    </row>
    <row r="492" spans="1:16" x14ac:dyDescent="0.25">
      <c r="A492" s="4">
        <v>491</v>
      </c>
      <c r="B492" s="5">
        <v>46009</v>
      </c>
      <c r="C492" s="4" t="s">
        <v>48</v>
      </c>
      <c r="D492" s="4" t="s">
        <v>66</v>
      </c>
      <c r="E492" s="4" t="s">
        <v>527</v>
      </c>
      <c r="F492" s="4" t="s">
        <v>15</v>
      </c>
      <c r="G492" s="4" t="s">
        <v>16</v>
      </c>
      <c r="H492" s="4">
        <v>9</v>
      </c>
      <c r="I492" s="6">
        <v>55000</v>
      </c>
      <c r="J492" s="6">
        <v>495000</v>
      </c>
      <c r="K492" t="str" cm="1">
        <f t="array" ref="K492">_xlfn.IFS(J492&lt;30000,"Low Value",J492&lt;=100000,"Medium Value",J492&gt;100000,"High Value")</f>
        <v>High Value</v>
      </c>
      <c r="L492" s="4" t="s">
        <v>43</v>
      </c>
      <c r="M492" s="4" t="s">
        <v>24</v>
      </c>
      <c r="N492" s="4" t="str">
        <f t="shared" si="21"/>
        <v>December</v>
      </c>
      <c r="O492" s="4" t="str">
        <f t="shared" si="22"/>
        <v>Q4</v>
      </c>
      <c r="P492" s="4">
        <f t="shared" si="23"/>
        <v>2025</v>
      </c>
    </row>
    <row r="493" spans="1:16" x14ac:dyDescent="0.25">
      <c r="A493" s="4">
        <v>492</v>
      </c>
      <c r="B493" s="5">
        <v>45942</v>
      </c>
      <c r="C493" s="4" t="s">
        <v>19</v>
      </c>
      <c r="D493" s="4" t="s">
        <v>85</v>
      </c>
      <c r="E493" s="4" t="s">
        <v>528</v>
      </c>
      <c r="F493" s="4" t="s">
        <v>47</v>
      </c>
      <c r="G493" s="4" t="s">
        <v>16</v>
      </c>
      <c r="H493" s="4">
        <v>8</v>
      </c>
      <c r="I493" s="6">
        <v>9000</v>
      </c>
      <c r="J493" s="6">
        <v>72000</v>
      </c>
      <c r="K493" t="str" cm="1">
        <f t="array" ref="K493">_xlfn.IFS(J493&lt;30000,"Low Value",J493&lt;=100000,"Medium Value",J493&gt;100000,"High Value")</f>
        <v>Medium Value</v>
      </c>
      <c r="L493" s="4" t="s">
        <v>17</v>
      </c>
      <c r="M493" s="4" t="s">
        <v>54</v>
      </c>
      <c r="N493" s="4" t="str">
        <f t="shared" si="21"/>
        <v>October</v>
      </c>
      <c r="O493" s="4" t="str">
        <f t="shared" si="22"/>
        <v>Q4</v>
      </c>
      <c r="P493" s="4">
        <f t="shared" si="23"/>
        <v>2025</v>
      </c>
    </row>
    <row r="494" spans="1:16" x14ac:dyDescent="0.25">
      <c r="A494" s="4">
        <v>493</v>
      </c>
      <c r="B494" s="5">
        <v>45664</v>
      </c>
      <c r="C494" s="4" t="s">
        <v>12</v>
      </c>
      <c r="D494" s="4" t="s">
        <v>44</v>
      </c>
      <c r="E494" s="4" t="s">
        <v>529</v>
      </c>
      <c r="F494" s="4" t="s">
        <v>15</v>
      </c>
      <c r="G494" s="4" t="s">
        <v>16</v>
      </c>
      <c r="H494" s="4">
        <v>10</v>
      </c>
      <c r="I494" s="6">
        <v>55000</v>
      </c>
      <c r="J494" s="6">
        <v>550000</v>
      </c>
      <c r="K494" t="str" cm="1">
        <f t="array" ref="K494">_xlfn.IFS(J494&lt;30000,"Low Value",J494&lt;=100000,"Medium Value",J494&gt;100000,"High Value")</f>
        <v>High Value</v>
      </c>
      <c r="L494" s="4" t="s">
        <v>23</v>
      </c>
      <c r="M494" s="4" t="s">
        <v>24</v>
      </c>
      <c r="N494" s="4" t="str">
        <f t="shared" si="21"/>
        <v>January</v>
      </c>
      <c r="O494" s="4" t="str">
        <f t="shared" si="22"/>
        <v>Q1</v>
      </c>
      <c r="P494" s="4">
        <f t="shared" si="23"/>
        <v>2025</v>
      </c>
    </row>
    <row r="495" spans="1:16" x14ac:dyDescent="0.25">
      <c r="A495" s="4">
        <v>494</v>
      </c>
      <c r="B495" s="5">
        <v>46015</v>
      </c>
      <c r="C495" s="4" t="s">
        <v>48</v>
      </c>
      <c r="D495" s="4" t="s">
        <v>59</v>
      </c>
      <c r="E495" s="4" t="s">
        <v>530</v>
      </c>
      <c r="F495" s="4" t="s">
        <v>40</v>
      </c>
      <c r="G495" s="4" t="s">
        <v>16</v>
      </c>
      <c r="H495" s="4">
        <v>5</v>
      </c>
      <c r="I495" s="6">
        <v>500</v>
      </c>
      <c r="J495" s="6">
        <v>2500</v>
      </c>
      <c r="K495" t="str" cm="1">
        <f t="array" ref="K495">_xlfn.IFS(J495&lt;30000,"Low Value",J495&lt;=100000,"Medium Value",J495&gt;100000,"High Value")</f>
        <v>Low Value</v>
      </c>
      <c r="L495" s="4" t="s">
        <v>33</v>
      </c>
      <c r="M495" s="4" t="s">
        <v>24</v>
      </c>
      <c r="N495" s="4" t="str">
        <f t="shared" si="21"/>
        <v>December</v>
      </c>
      <c r="O495" s="4" t="str">
        <f t="shared" si="22"/>
        <v>Q4</v>
      </c>
      <c r="P495" s="4">
        <f t="shared" si="23"/>
        <v>2025</v>
      </c>
    </row>
    <row r="496" spans="1:16" x14ac:dyDescent="0.25">
      <c r="A496" s="4">
        <v>495</v>
      </c>
      <c r="B496" s="5">
        <v>45767</v>
      </c>
      <c r="C496" s="4" t="s">
        <v>48</v>
      </c>
      <c r="D496" s="4" t="s">
        <v>52</v>
      </c>
      <c r="E496" s="4" t="s">
        <v>531</v>
      </c>
      <c r="F496" s="4" t="s">
        <v>40</v>
      </c>
      <c r="G496" s="4" t="s">
        <v>16</v>
      </c>
      <c r="H496" s="4">
        <v>6</v>
      </c>
      <c r="I496" s="6">
        <v>500</v>
      </c>
      <c r="J496" s="6">
        <v>3000</v>
      </c>
      <c r="K496" t="str" cm="1">
        <f t="array" ref="K496">_xlfn.IFS(J496&lt;30000,"Low Value",J496&lt;=100000,"Medium Value",J496&gt;100000,"High Value")</f>
        <v>Low Value</v>
      </c>
      <c r="L496" s="4" t="s">
        <v>17</v>
      </c>
      <c r="M496" s="4" t="s">
        <v>24</v>
      </c>
      <c r="N496" s="4" t="str">
        <f t="shared" si="21"/>
        <v>April</v>
      </c>
      <c r="O496" s="4" t="str">
        <f t="shared" si="22"/>
        <v>Q2</v>
      </c>
      <c r="P496" s="4">
        <f t="shared" si="23"/>
        <v>2025</v>
      </c>
    </row>
    <row r="497" spans="1:16" x14ac:dyDescent="0.25">
      <c r="A497" s="4">
        <v>496</v>
      </c>
      <c r="B497" s="5">
        <v>45880</v>
      </c>
      <c r="C497" s="4" t="s">
        <v>12</v>
      </c>
      <c r="D497" s="4" t="s">
        <v>49</v>
      </c>
      <c r="E497" s="4" t="s">
        <v>532</v>
      </c>
      <c r="F497" s="4" t="s">
        <v>32</v>
      </c>
      <c r="G497" s="4" t="s">
        <v>29</v>
      </c>
      <c r="H497" s="4">
        <v>5</v>
      </c>
      <c r="I497" s="6">
        <v>7000</v>
      </c>
      <c r="J497" s="6">
        <v>35000</v>
      </c>
      <c r="K497" t="str" cm="1">
        <f t="array" ref="K497">_xlfn.IFS(J497&lt;30000,"Low Value",J497&lt;=100000,"Medium Value",J497&gt;100000,"High Value")</f>
        <v>Medium Value</v>
      </c>
      <c r="L497" s="4" t="s">
        <v>23</v>
      </c>
      <c r="M497" s="4" t="s">
        <v>24</v>
      </c>
      <c r="N497" s="4" t="str">
        <f t="shared" si="21"/>
        <v>August</v>
      </c>
      <c r="O497" s="4" t="str">
        <f t="shared" si="22"/>
        <v>Q3</v>
      </c>
      <c r="P497" s="4">
        <f t="shared" si="23"/>
        <v>2025</v>
      </c>
    </row>
    <row r="498" spans="1:16" x14ac:dyDescent="0.25">
      <c r="A498" s="4">
        <v>497</v>
      </c>
      <c r="B498" s="5">
        <v>45919</v>
      </c>
      <c r="C498" s="4" t="s">
        <v>48</v>
      </c>
      <c r="D498" s="4" t="s">
        <v>92</v>
      </c>
      <c r="E498" s="4" t="s">
        <v>533</v>
      </c>
      <c r="F498" s="4" t="s">
        <v>22</v>
      </c>
      <c r="G498" s="4" t="s">
        <v>16</v>
      </c>
      <c r="H498" s="4">
        <v>2</v>
      </c>
      <c r="I498" s="6">
        <v>1200</v>
      </c>
      <c r="J498" s="6">
        <v>2400</v>
      </c>
      <c r="K498" t="str" cm="1">
        <f t="array" ref="K498">_xlfn.IFS(J498&lt;30000,"Low Value",J498&lt;=100000,"Medium Value",J498&gt;100000,"High Value")</f>
        <v>Low Value</v>
      </c>
      <c r="L498" s="4" t="s">
        <v>17</v>
      </c>
      <c r="M498" s="4" t="s">
        <v>54</v>
      </c>
      <c r="N498" s="4" t="str">
        <f t="shared" si="21"/>
        <v>September</v>
      </c>
      <c r="O498" s="4" t="str">
        <f t="shared" si="22"/>
        <v>Q3</v>
      </c>
      <c r="P498" s="4">
        <f t="shared" si="23"/>
        <v>2025</v>
      </c>
    </row>
    <row r="499" spans="1:16" x14ac:dyDescent="0.25">
      <c r="A499" s="4">
        <v>498</v>
      </c>
      <c r="B499" s="5">
        <v>45922</v>
      </c>
      <c r="C499" s="4" t="s">
        <v>25</v>
      </c>
      <c r="D499" s="4" t="s">
        <v>20</v>
      </c>
      <c r="E499" s="4" t="s">
        <v>534</v>
      </c>
      <c r="F499" s="4" t="s">
        <v>28</v>
      </c>
      <c r="G499" s="4" t="s">
        <v>29</v>
      </c>
      <c r="H499" s="4">
        <v>10</v>
      </c>
      <c r="I499" s="6">
        <v>3500</v>
      </c>
      <c r="J499" s="6">
        <v>35000</v>
      </c>
      <c r="K499" t="str" cm="1">
        <f t="array" ref="K499">_xlfn.IFS(J499&lt;30000,"Low Value",J499&lt;=100000,"Medium Value",J499&gt;100000,"High Value")</f>
        <v>Medium Value</v>
      </c>
      <c r="L499" s="4" t="s">
        <v>17</v>
      </c>
      <c r="M499" s="4" t="s">
        <v>24</v>
      </c>
      <c r="N499" s="4" t="str">
        <f t="shared" si="21"/>
        <v>September</v>
      </c>
      <c r="O499" s="4" t="str">
        <f t="shared" si="22"/>
        <v>Q3</v>
      </c>
      <c r="P499" s="4">
        <f t="shared" si="23"/>
        <v>2025</v>
      </c>
    </row>
    <row r="500" spans="1:16" x14ac:dyDescent="0.25">
      <c r="A500" s="4">
        <v>499</v>
      </c>
      <c r="B500" s="5">
        <v>45780</v>
      </c>
      <c r="C500" s="4" t="s">
        <v>12</v>
      </c>
      <c r="D500" s="4" t="s">
        <v>64</v>
      </c>
      <c r="E500" s="4" t="s">
        <v>535</v>
      </c>
      <c r="F500" s="4" t="s">
        <v>47</v>
      </c>
      <c r="G500" s="4" t="s">
        <v>16</v>
      </c>
      <c r="H500" s="4">
        <v>10</v>
      </c>
      <c r="I500" s="6">
        <v>9000</v>
      </c>
      <c r="J500" s="6">
        <v>90000</v>
      </c>
      <c r="K500" t="str" cm="1">
        <f t="array" ref="K500">_xlfn.IFS(J500&lt;30000,"Low Value",J500&lt;=100000,"Medium Value",J500&gt;100000,"High Value")</f>
        <v>Medium Value</v>
      </c>
      <c r="L500" s="4" t="s">
        <v>33</v>
      </c>
      <c r="M500" s="4" t="s">
        <v>24</v>
      </c>
      <c r="N500" s="4" t="str">
        <f t="shared" si="21"/>
        <v>May</v>
      </c>
      <c r="O500" s="4" t="str">
        <f t="shared" si="22"/>
        <v>Q2</v>
      </c>
      <c r="P500" s="4">
        <f t="shared" si="23"/>
        <v>2025</v>
      </c>
    </row>
    <row r="501" spans="1:16" x14ac:dyDescent="0.25">
      <c r="A501" s="4">
        <v>500</v>
      </c>
      <c r="B501" s="5">
        <v>45713</v>
      </c>
      <c r="C501" s="4" t="s">
        <v>19</v>
      </c>
      <c r="D501" s="4" t="s">
        <v>52</v>
      </c>
      <c r="E501" s="4" t="s">
        <v>536</v>
      </c>
      <c r="F501" s="4" t="s">
        <v>47</v>
      </c>
      <c r="G501" s="4" t="s">
        <v>16</v>
      </c>
      <c r="H501" s="4">
        <v>10</v>
      </c>
      <c r="I501" s="6">
        <v>9000</v>
      </c>
      <c r="J501" s="6">
        <v>90000</v>
      </c>
      <c r="K501" t="str" cm="1">
        <f t="array" ref="K501">_xlfn.IFS(J501&lt;30000,"Low Value",J501&lt;=100000,"Medium Value",J501&gt;100000,"High Value")</f>
        <v>Medium Value</v>
      </c>
      <c r="L501" s="4" t="s">
        <v>43</v>
      </c>
      <c r="M501" s="4" t="s">
        <v>54</v>
      </c>
      <c r="N501" s="4" t="str">
        <f t="shared" si="21"/>
        <v>February</v>
      </c>
      <c r="O501" s="4" t="str">
        <f t="shared" si="22"/>
        <v>Q1</v>
      </c>
      <c r="P501" s="4">
        <f t="shared" si="23"/>
        <v>2025</v>
      </c>
    </row>
  </sheetData>
  <autoFilter ref="A1:M1" xr:uid="{00000000-0001-0000-0000-000000000000}">
    <sortState xmlns:xlrd2="http://schemas.microsoft.com/office/spreadsheetml/2017/richdata2" ref="A2:M501">
      <sortCondition ref="A1"/>
    </sortState>
  </autoFilter>
  <conditionalFormatting sqref="J2:J1048576">
    <cfRule type="top10" dxfId="2" priority="1" rank="10"/>
    <cfRule type="cellIs" dxfId="1" priority="4" operator="greaterThan">
      <formula>50000</formula>
    </cfRule>
  </conditionalFormatting>
  <conditionalFormatting sqref="M2:M1048576">
    <cfRule type="containsText" dxfId="0" priority="3" operator="containsText" text="Cancelled">
      <formula>NOT(ISERROR(SEARCH("Cancelled",M2)))</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4436-BE5C-40F3-AD9B-476494CD9154}">
  <dimension ref="A1:H21"/>
  <sheetViews>
    <sheetView zoomScale="160" zoomScaleNormal="160" workbookViewId="0">
      <selection activeCell="F2" sqref="F2"/>
    </sheetView>
  </sheetViews>
  <sheetFormatPr defaultRowHeight="15" x14ac:dyDescent="0.25"/>
  <cols>
    <col min="1" max="1" width="17.42578125" bestFit="1" customWidth="1"/>
    <col min="2" max="2" width="15.42578125" bestFit="1" customWidth="1"/>
    <col min="3" max="3" width="17.42578125" bestFit="1" customWidth="1"/>
    <col min="4" max="4" width="8" customWidth="1"/>
    <col min="5" max="5" width="16.5703125" bestFit="1" customWidth="1"/>
    <col min="6" max="6" width="17.28515625" bestFit="1" customWidth="1"/>
    <col min="7" max="7" width="14.85546875" bestFit="1" customWidth="1"/>
    <col min="8" max="8" width="22.5703125" bestFit="1" customWidth="1"/>
  </cols>
  <sheetData>
    <row r="1" spans="1:8" x14ac:dyDescent="0.25">
      <c r="A1" s="20" t="s">
        <v>2</v>
      </c>
      <c r="B1" s="20" t="s">
        <v>546</v>
      </c>
      <c r="C1" s="20" t="s">
        <v>537</v>
      </c>
      <c r="E1" s="8" t="s">
        <v>544</v>
      </c>
      <c r="F1" s="8" t="s">
        <v>542</v>
      </c>
      <c r="G1" s="8" t="s">
        <v>541</v>
      </c>
      <c r="H1" s="8" t="s">
        <v>540</v>
      </c>
    </row>
    <row r="2" spans="1:8" x14ac:dyDescent="0.25">
      <c r="A2" s="14" t="s">
        <v>12</v>
      </c>
      <c r="B2" s="14">
        <v>116</v>
      </c>
      <c r="C2" s="13">
        <v>10325800</v>
      </c>
      <c r="E2" s="4">
        <f>SUM(Orders!H:H)</f>
        <v>2855</v>
      </c>
      <c r="F2" s="6">
        <f>AVERAGE(Orders!J:J)</f>
        <v>73503.8</v>
      </c>
      <c r="G2" s="6">
        <f>SUM(Orders!J:J)</f>
        <v>36751900</v>
      </c>
      <c r="H2" s="6">
        <f>SUMIF(Orders!M:M,"Completed",Orders!J:J)</f>
        <v>29249300</v>
      </c>
    </row>
    <row r="3" spans="1:8" x14ac:dyDescent="0.25">
      <c r="A3" s="14" t="s">
        <v>19</v>
      </c>
      <c r="B3" s="14">
        <v>85</v>
      </c>
      <c r="C3" s="13">
        <v>4349200</v>
      </c>
      <c r="E3" s="4"/>
      <c r="F3" s="4"/>
      <c r="G3" s="4"/>
      <c r="H3" s="4"/>
    </row>
    <row r="4" spans="1:8" x14ac:dyDescent="0.25">
      <c r="A4" s="14" t="s">
        <v>25</v>
      </c>
      <c r="B4" s="14">
        <v>105</v>
      </c>
      <c r="C4" s="13">
        <v>8945100</v>
      </c>
      <c r="E4" s="8" t="s">
        <v>539</v>
      </c>
      <c r="F4" s="9" t="s">
        <v>543</v>
      </c>
      <c r="G4" s="8" t="s">
        <v>545</v>
      </c>
      <c r="H4" s="4"/>
    </row>
    <row r="5" spans="1:8" x14ac:dyDescent="0.25">
      <c r="A5" s="14" t="s">
        <v>34</v>
      </c>
      <c r="B5" s="14">
        <v>92</v>
      </c>
      <c r="C5" s="13">
        <v>5631000</v>
      </c>
      <c r="E5" s="4">
        <f>COUNT(Orders!A:A)</f>
        <v>500</v>
      </c>
      <c r="F5" s="4">
        <f>COUNTIF(Orders!M:M,"Completed")</f>
        <v>397</v>
      </c>
      <c r="G5" s="10">
        <f>F5/E5</f>
        <v>0.79400000000000004</v>
      </c>
      <c r="H5" s="4"/>
    </row>
    <row r="6" spans="1:8" x14ac:dyDescent="0.25">
      <c r="A6" s="14" t="s">
        <v>48</v>
      </c>
      <c r="B6" s="14">
        <v>102</v>
      </c>
      <c r="C6" s="13">
        <v>7500800</v>
      </c>
    </row>
    <row r="7" spans="1:8" x14ac:dyDescent="0.25">
      <c r="A7" s="15" t="s">
        <v>538</v>
      </c>
      <c r="B7" s="15">
        <v>500</v>
      </c>
      <c r="C7" s="11">
        <v>36751900</v>
      </c>
    </row>
    <row r="10" spans="1:8" x14ac:dyDescent="0.25">
      <c r="A10" s="20" t="s">
        <v>547</v>
      </c>
      <c r="B10" s="20" t="s">
        <v>546</v>
      </c>
    </row>
    <row r="11" spans="1:8" x14ac:dyDescent="0.25">
      <c r="A11" s="14" t="s">
        <v>17</v>
      </c>
      <c r="B11" s="14">
        <v>120</v>
      </c>
    </row>
    <row r="12" spans="1:8" x14ac:dyDescent="0.25">
      <c r="A12" s="14" t="s">
        <v>23</v>
      </c>
      <c r="B12" s="14">
        <v>115</v>
      </c>
    </row>
    <row r="13" spans="1:8" x14ac:dyDescent="0.25">
      <c r="A13" s="14" t="s">
        <v>33</v>
      </c>
      <c r="B13" s="14">
        <v>124</v>
      </c>
    </row>
    <row r="14" spans="1:8" x14ac:dyDescent="0.25">
      <c r="A14" s="14" t="s">
        <v>43</v>
      </c>
      <c r="B14" s="14">
        <v>141</v>
      </c>
    </row>
    <row r="15" spans="1:8" x14ac:dyDescent="0.25">
      <c r="A15" s="15" t="s">
        <v>538</v>
      </c>
      <c r="B15" s="15">
        <v>500</v>
      </c>
    </row>
    <row r="16" spans="1:8" x14ac:dyDescent="0.25">
      <c r="B16" s="4"/>
      <c r="C16" s="4"/>
      <c r="D16" s="4"/>
    </row>
    <row r="17" spans="1:5" x14ac:dyDescent="0.25">
      <c r="A17" s="4"/>
      <c r="B17" s="4"/>
      <c r="C17" s="4"/>
      <c r="D17" s="4"/>
      <c r="E17" s="4"/>
    </row>
    <row r="18" spans="1:5" x14ac:dyDescent="0.25">
      <c r="A18" s="16" t="s">
        <v>6</v>
      </c>
      <c r="B18" s="16" t="s">
        <v>537</v>
      </c>
    </row>
    <row r="19" spans="1:5" x14ac:dyDescent="0.25">
      <c r="A19" s="12" t="s">
        <v>16</v>
      </c>
      <c r="B19" s="18">
        <v>31645400</v>
      </c>
    </row>
    <row r="20" spans="1:5" x14ac:dyDescent="0.25">
      <c r="A20" s="12" t="s">
        <v>29</v>
      </c>
      <c r="B20" s="18">
        <v>5106500</v>
      </c>
    </row>
    <row r="21" spans="1:5" x14ac:dyDescent="0.25">
      <c r="A21" s="17" t="s">
        <v>538</v>
      </c>
      <c r="B21" s="19">
        <v>36751900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14912-E452-46C4-B148-D41993F50859}">
  <dimension ref="A1:C41"/>
  <sheetViews>
    <sheetView zoomScale="130" zoomScaleNormal="130" workbookViewId="0">
      <selection activeCell="A2" sqref="A2:B6"/>
    </sheetView>
  </sheetViews>
  <sheetFormatPr defaultRowHeight="15" x14ac:dyDescent="0.25"/>
  <cols>
    <col min="1" max="1" width="13.140625" bestFit="1" customWidth="1"/>
    <col min="2" max="2" width="19.5703125" bestFit="1" customWidth="1"/>
    <col min="3" max="3" width="15.42578125" bestFit="1" customWidth="1"/>
  </cols>
  <sheetData>
    <row r="1" spans="1:3" x14ac:dyDescent="0.25">
      <c r="A1" s="21" t="s">
        <v>552</v>
      </c>
      <c r="B1" t="s">
        <v>554</v>
      </c>
    </row>
    <row r="2" spans="1:3" x14ac:dyDescent="0.25">
      <c r="A2" s="4" t="s">
        <v>48</v>
      </c>
      <c r="B2" s="1">
        <v>7500800</v>
      </c>
    </row>
    <row r="3" spans="1:3" x14ac:dyDescent="0.25">
      <c r="A3" s="4" t="s">
        <v>25</v>
      </c>
      <c r="B3" s="1">
        <v>8945100</v>
      </c>
    </row>
    <row r="4" spans="1:3" x14ac:dyDescent="0.25">
      <c r="A4" s="4" t="s">
        <v>12</v>
      </c>
      <c r="B4" s="1">
        <v>10325800</v>
      </c>
    </row>
    <row r="5" spans="1:3" x14ac:dyDescent="0.25">
      <c r="A5" s="4" t="s">
        <v>19</v>
      </c>
      <c r="B5" s="1">
        <v>4349200</v>
      </c>
    </row>
    <row r="6" spans="1:3" x14ac:dyDescent="0.25">
      <c r="A6" s="4" t="s">
        <v>34</v>
      </c>
      <c r="B6" s="1">
        <v>5631000</v>
      </c>
    </row>
    <row r="7" spans="1:3" x14ac:dyDescent="0.25">
      <c r="A7" s="4" t="s">
        <v>553</v>
      </c>
      <c r="B7" s="1">
        <v>36751900</v>
      </c>
    </row>
    <row r="10" spans="1:3" x14ac:dyDescent="0.25">
      <c r="A10" s="21" t="s">
        <v>552</v>
      </c>
      <c r="B10" t="s">
        <v>554</v>
      </c>
      <c r="C10" t="s">
        <v>555</v>
      </c>
    </row>
    <row r="11" spans="1:3" x14ac:dyDescent="0.25">
      <c r="A11" s="4" t="s">
        <v>28</v>
      </c>
      <c r="B11" s="1">
        <v>1585500</v>
      </c>
      <c r="C11" s="23">
        <v>453</v>
      </c>
    </row>
    <row r="12" spans="1:3" x14ac:dyDescent="0.25">
      <c r="A12" s="4" t="s">
        <v>32</v>
      </c>
      <c r="B12" s="1">
        <v>3521000</v>
      </c>
      <c r="C12" s="23">
        <v>503</v>
      </c>
    </row>
    <row r="13" spans="1:3" x14ac:dyDescent="0.25">
      <c r="A13" s="4" t="s">
        <v>22</v>
      </c>
      <c r="B13" s="1">
        <v>608400</v>
      </c>
      <c r="C13" s="23">
        <v>507</v>
      </c>
    </row>
    <row r="14" spans="1:3" x14ac:dyDescent="0.25">
      <c r="A14" s="4" t="s">
        <v>15</v>
      </c>
      <c r="B14" s="1">
        <v>26785000</v>
      </c>
      <c r="C14" s="23">
        <v>487</v>
      </c>
    </row>
    <row r="15" spans="1:3" x14ac:dyDescent="0.25">
      <c r="A15" s="4" t="s">
        <v>40</v>
      </c>
      <c r="B15" s="1">
        <v>229000</v>
      </c>
      <c r="C15" s="23">
        <v>458</v>
      </c>
    </row>
    <row r="16" spans="1:3" x14ac:dyDescent="0.25">
      <c r="A16" s="4" t="s">
        <v>47</v>
      </c>
      <c r="B16" s="1">
        <v>4023000</v>
      </c>
      <c r="C16" s="23">
        <v>447</v>
      </c>
    </row>
    <row r="17" spans="1:3" x14ac:dyDescent="0.25">
      <c r="A17" s="4" t="s">
        <v>553</v>
      </c>
      <c r="B17" s="1">
        <v>36751900</v>
      </c>
      <c r="C17" s="23">
        <v>2855</v>
      </c>
    </row>
    <row r="20" spans="1:3" x14ac:dyDescent="0.25">
      <c r="A20" s="21" t="s">
        <v>552</v>
      </c>
      <c r="B20" t="s">
        <v>554</v>
      </c>
    </row>
    <row r="21" spans="1:3" x14ac:dyDescent="0.25">
      <c r="A21" s="4" t="s">
        <v>17</v>
      </c>
      <c r="B21" s="1">
        <v>8801200</v>
      </c>
    </row>
    <row r="22" spans="1:3" x14ac:dyDescent="0.25">
      <c r="A22" s="4" t="s">
        <v>23</v>
      </c>
      <c r="B22" s="1">
        <v>8475000</v>
      </c>
    </row>
    <row r="23" spans="1:3" x14ac:dyDescent="0.25">
      <c r="A23" s="4" t="s">
        <v>33</v>
      </c>
      <c r="B23" s="1">
        <v>8563500</v>
      </c>
    </row>
    <row r="24" spans="1:3" x14ac:dyDescent="0.25">
      <c r="A24" s="4" t="s">
        <v>43</v>
      </c>
      <c r="B24" s="1">
        <v>10912200</v>
      </c>
    </row>
    <row r="25" spans="1:3" x14ac:dyDescent="0.25">
      <c r="A25" s="4" t="s">
        <v>553</v>
      </c>
      <c r="B25" s="1">
        <v>36751900</v>
      </c>
    </row>
    <row r="28" spans="1:3" x14ac:dyDescent="0.25">
      <c r="A28" s="21" t="s">
        <v>552</v>
      </c>
      <c r="B28" t="s">
        <v>554</v>
      </c>
    </row>
    <row r="29" spans="1:3" x14ac:dyDescent="0.25">
      <c r="A29" s="4" t="s">
        <v>556</v>
      </c>
      <c r="B29" s="1">
        <v>5510900</v>
      </c>
    </row>
    <row r="30" spans="1:3" x14ac:dyDescent="0.25">
      <c r="A30" s="4" t="s">
        <v>557</v>
      </c>
      <c r="B30" s="1">
        <v>3011300</v>
      </c>
    </row>
    <row r="31" spans="1:3" x14ac:dyDescent="0.25">
      <c r="A31" s="4" t="s">
        <v>558</v>
      </c>
      <c r="B31" s="1">
        <v>1679600</v>
      </c>
    </row>
    <row r="32" spans="1:3" x14ac:dyDescent="0.25">
      <c r="A32" s="4" t="s">
        <v>559</v>
      </c>
      <c r="B32" s="1">
        <v>3116600</v>
      </c>
    </row>
    <row r="33" spans="1:2" x14ac:dyDescent="0.25">
      <c r="A33" s="4" t="s">
        <v>560</v>
      </c>
      <c r="B33" s="1">
        <v>3114500</v>
      </c>
    </row>
    <row r="34" spans="1:2" x14ac:dyDescent="0.25">
      <c r="A34" s="4" t="s">
        <v>561</v>
      </c>
      <c r="B34" s="1">
        <v>3005300</v>
      </c>
    </row>
    <row r="35" spans="1:2" x14ac:dyDescent="0.25">
      <c r="A35" s="4" t="s">
        <v>562</v>
      </c>
      <c r="B35" s="1">
        <v>2282500</v>
      </c>
    </row>
    <row r="36" spans="1:2" x14ac:dyDescent="0.25">
      <c r="A36" s="4" t="s">
        <v>563</v>
      </c>
      <c r="B36" s="1">
        <v>2978700</v>
      </c>
    </row>
    <row r="37" spans="1:2" x14ac:dyDescent="0.25">
      <c r="A37" s="4" t="s">
        <v>564</v>
      </c>
      <c r="B37" s="1">
        <v>3216000</v>
      </c>
    </row>
    <row r="38" spans="1:2" x14ac:dyDescent="0.25">
      <c r="A38" s="4" t="s">
        <v>565</v>
      </c>
      <c r="B38" s="1">
        <v>3096400</v>
      </c>
    </row>
    <row r="39" spans="1:2" x14ac:dyDescent="0.25">
      <c r="A39" s="4" t="s">
        <v>566</v>
      </c>
      <c r="B39" s="1">
        <v>3458800</v>
      </c>
    </row>
    <row r="40" spans="1:2" x14ac:dyDescent="0.25">
      <c r="A40" s="4" t="s">
        <v>567</v>
      </c>
      <c r="B40" s="1">
        <v>2281300</v>
      </c>
    </row>
    <row r="41" spans="1:2" x14ac:dyDescent="0.25">
      <c r="A41" s="4" t="s">
        <v>553</v>
      </c>
      <c r="B41" s="1">
        <v>36751900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9B40A-8647-435F-8849-72797D34981E}">
  <dimension ref="A1:R3"/>
  <sheetViews>
    <sheetView showGridLines="0" zoomScale="115" zoomScaleNormal="115" workbookViewId="0">
      <selection activeCell="U7" sqref="U7"/>
    </sheetView>
  </sheetViews>
  <sheetFormatPr defaultRowHeight="15" x14ac:dyDescent="0.25"/>
  <sheetData>
    <row r="1" spans="1:18" x14ac:dyDescent="0.25">
      <c r="A1" s="22" t="s">
        <v>568</v>
      </c>
      <c r="B1" s="22"/>
      <c r="C1" s="22"/>
      <c r="D1" s="22"/>
      <c r="E1" s="22"/>
      <c r="F1" s="22"/>
      <c r="G1" s="22"/>
      <c r="H1" s="22"/>
      <c r="I1" s="22"/>
      <c r="J1" s="22"/>
      <c r="K1" s="22"/>
      <c r="L1" s="22"/>
      <c r="M1" s="22"/>
      <c r="N1" s="22"/>
      <c r="O1" s="22"/>
      <c r="P1" s="22"/>
      <c r="Q1" s="22"/>
      <c r="R1" s="24"/>
    </row>
    <row r="2" spans="1:18" x14ac:dyDescent="0.25">
      <c r="A2" s="22"/>
      <c r="B2" s="22"/>
      <c r="C2" s="22"/>
      <c r="D2" s="22"/>
      <c r="E2" s="22"/>
      <c r="F2" s="22"/>
      <c r="G2" s="22"/>
      <c r="H2" s="22"/>
      <c r="I2" s="22"/>
      <c r="J2" s="22"/>
      <c r="K2" s="22"/>
      <c r="L2" s="22"/>
      <c r="M2" s="22"/>
      <c r="N2" s="22"/>
      <c r="O2" s="22"/>
      <c r="P2" s="22"/>
      <c r="Q2" s="22"/>
      <c r="R2" s="24"/>
    </row>
    <row r="3" spans="1:18" x14ac:dyDescent="0.25">
      <c r="A3" s="22"/>
      <c r="B3" s="22"/>
      <c r="C3" s="22"/>
      <c r="D3" s="22"/>
      <c r="E3" s="22"/>
      <c r="F3" s="22"/>
      <c r="G3" s="22"/>
      <c r="H3" s="22"/>
      <c r="I3" s="22"/>
      <c r="J3" s="22"/>
      <c r="K3" s="22"/>
      <c r="L3" s="22"/>
      <c r="M3" s="22"/>
      <c r="N3" s="22"/>
      <c r="O3" s="22"/>
      <c r="P3" s="22"/>
      <c r="Q3" s="22"/>
      <c r="R3" s="24"/>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891C9-C151-44F5-BCD7-AE7B62AE793E}">
  <dimension ref="A1:AC42"/>
  <sheetViews>
    <sheetView showGridLines="0" tabSelected="1" zoomScale="110" zoomScaleNormal="110" workbookViewId="0">
      <selection activeCell="Q30" sqref="Q30"/>
    </sheetView>
  </sheetViews>
  <sheetFormatPr defaultRowHeight="15" x14ac:dyDescent="0.25"/>
  <sheetData>
    <row r="1" spans="1:29" x14ac:dyDescent="0.25">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row>
    <row r="2" spans="1:29" x14ac:dyDescent="0.25">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row>
    <row r="3" spans="1:29" x14ac:dyDescent="0.25">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row>
    <row r="4" spans="1:29" x14ac:dyDescent="0.25">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row>
    <row r="5" spans="1:29" x14ac:dyDescent="0.25">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row>
    <row r="6" spans="1:29" x14ac:dyDescent="0.25">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row>
    <row r="7" spans="1:29" x14ac:dyDescent="0.25">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row>
    <row r="8" spans="1:29" x14ac:dyDescent="0.25">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row>
    <row r="9" spans="1:29" x14ac:dyDescent="0.25">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row>
    <row r="10" spans="1:29"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row>
    <row r="11" spans="1:29" x14ac:dyDescent="0.2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row>
    <row r="12" spans="1:29" x14ac:dyDescent="0.25">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row>
    <row r="13" spans="1:29" x14ac:dyDescent="0.2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row>
    <row r="14" spans="1:29" x14ac:dyDescent="0.2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row>
    <row r="15" spans="1:29" x14ac:dyDescent="0.25">
      <c r="A15" s="25"/>
      <c r="B15" s="25"/>
      <c r="C15" s="25"/>
      <c r="D15" s="25"/>
      <c r="E15" s="26"/>
      <c r="F15" s="25"/>
      <c r="G15" s="25"/>
      <c r="H15" s="25"/>
      <c r="I15" s="25"/>
      <c r="J15" s="25"/>
      <c r="K15" s="25"/>
      <c r="L15" s="25"/>
      <c r="M15" s="25"/>
      <c r="N15" s="25"/>
      <c r="O15" s="25"/>
      <c r="P15" s="25"/>
      <c r="Q15" s="25"/>
      <c r="R15" s="25"/>
      <c r="S15" s="25"/>
      <c r="T15" s="25"/>
      <c r="U15" s="25"/>
      <c r="V15" s="25"/>
      <c r="W15" s="25"/>
      <c r="X15" s="25"/>
      <c r="Y15" s="25"/>
      <c r="Z15" s="25"/>
      <c r="AA15" s="25"/>
      <c r="AB15" s="25"/>
      <c r="AC15" s="26"/>
    </row>
    <row r="16" spans="1:29" x14ac:dyDescent="0.2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row>
    <row r="17" spans="1:29" x14ac:dyDescent="0.25">
      <c r="A17" s="25"/>
      <c r="B17" s="25"/>
      <c r="C17" s="25"/>
      <c r="D17" s="25"/>
      <c r="E17" s="25"/>
      <c r="F17" s="25"/>
      <c r="G17" s="25"/>
      <c r="H17" s="25"/>
      <c r="I17" s="27"/>
      <c r="J17" s="25"/>
      <c r="K17" s="25"/>
      <c r="L17" s="25"/>
      <c r="M17" s="25"/>
      <c r="N17" s="25"/>
      <c r="O17" s="25"/>
      <c r="P17" s="25"/>
      <c r="Q17" s="25"/>
      <c r="R17" s="25"/>
      <c r="S17" s="25"/>
      <c r="T17" s="25"/>
      <c r="U17" s="25"/>
      <c r="V17" s="25"/>
      <c r="W17" s="25"/>
      <c r="X17" s="25"/>
      <c r="Y17" s="25"/>
      <c r="Z17" s="25"/>
      <c r="AA17" s="25"/>
      <c r="AB17" s="25"/>
      <c r="AC17" s="25"/>
    </row>
    <row r="18" spans="1:29" x14ac:dyDescent="0.2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row>
    <row r="19" spans="1:29" x14ac:dyDescent="0.2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row>
    <row r="20" spans="1:29" x14ac:dyDescent="0.2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row>
    <row r="21" spans="1:29" x14ac:dyDescent="0.2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row>
    <row r="22" spans="1:29" x14ac:dyDescent="0.2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row>
    <row r="23" spans="1:29" x14ac:dyDescent="0.2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row>
    <row r="24" spans="1:29" x14ac:dyDescent="0.2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row>
    <row r="25" spans="1:29" x14ac:dyDescent="0.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row>
    <row r="26" spans="1:29" x14ac:dyDescent="0.2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row>
    <row r="27" spans="1:29" x14ac:dyDescent="0.2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row>
    <row r="28" spans="1:29" x14ac:dyDescent="0.25">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row>
    <row r="29" spans="1:29" x14ac:dyDescent="0.2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row>
    <row r="30" spans="1:29" x14ac:dyDescent="0.25">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row>
    <row r="31" spans="1:29" x14ac:dyDescent="0.2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row>
    <row r="32" spans="1:29" x14ac:dyDescent="0.2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row>
    <row r="33" spans="1:29" x14ac:dyDescent="0.2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row>
    <row r="34" spans="1:29" x14ac:dyDescent="0.2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row>
    <row r="35" spans="1:29" x14ac:dyDescent="0.2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row>
    <row r="36" spans="1:29" x14ac:dyDescent="0.2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row>
    <row r="37" spans="1:29" x14ac:dyDescent="0.2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row>
    <row r="38" spans="1:29" x14ac:dyDescent="0.2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row>
    <row r="39" spans="1:29" x14ac:dyDescent="0.2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row>
    <row r="40" spans="1:29" x14ac:dyDescent="0.2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row>
    <row r="41" spans="1:29" x14ac:dyDescent="0.2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row>
    <row r="42" spans="1:29" x14ac:dyDescent="0.2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Data</vt:lpstr>
      <vt:lpstr>Pivot Table</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 gelani</cp:lastModifiedBy>
  <dcterms:created xsi:type="dcterms:W3CDTF">2026-06-12T05:10:35Z</dcterms:created>
  <dcterms:modified xsi:type="dcterms:W3CDTF">2026-06-12T16:43:56Z</dcterms:modified>
</cp:coreProperties>
</file>